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b223aa38a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илософские сообщества" sheetId="1" r:id="R240750ba93cf4559"/>
    <x:sheet xmlns:r="http://schemas.openxmlformats.org/officeDocument/2006/relationships" name="Сводка" sheetId="2" r:id="R8e9a632dde4c49fe"/>
    <x:sheet xmlns:r="http://schemas.openxmlformats.org/officeDocument/2006/relationships" name="Требует проверки" sheetId="3" r:id="Rb7fc638eaff54b3d"/>
    <x:sheet xmlns:r="http://schemas.openxmlformats.org/officeDocument/2006/relationships" name="Охват стран" sheetId="4" r:id="R11c8726b8a164e3d"/>
    <x:sheet xmlns:r="http://schemas.openxmlformats.org/officeDocument/2006/relationships" name="Источники" sheetId="5" r:id="R560fd616e40f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8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sz val="10"/>
      <x:color rgb="FF8A5C00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2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f1019a4694b8a" /><Relationship Type="http://schemas.openxmlformats.org/officeDocument/2006/relationships/theme" Target="/xl/theme/theme1.xml" Id="R44e707badb8d4c43" /><Relationship Type="http://schemas.openxmlformats.org/officeDocument/2006/relationships/sharedStrings" Target="/xl/sharedStrings.xml" Id="R8d81264e2d8d4694" /><Relationship Type="http://schemas.openxmlformats.org/officeDocument/2006/relationships/worksheet" Target="/xl/worksheets/sheet1.xml" Id="R240750ba93cf4559" /><Relationship Type="http://schemas.openxmlformats.org/officeDocument/2006/relationships/worksheet" Target="/xl/worksheets/sheet2.xml" Id="R8e9a632dde4c49fe" /><Relationship Type="http://schemas.openxmlformats.org/officeDocument/2006/relationships/worksheet" Target="/xl/worksheets/sheet3.xml" Id="Rb7fc638eaff54b3d" /><Relationship Type="http://schemas.openxmlformats.org/officeDocument/2006/relationships/worksheet" Target="/xl/worksheets/sheet4.xml" Id="R11c8726b8a164e3d" /><Relationship Type="http://schemas.openxmlformats.org/officeDocument/2006/relationships/worksheet" Target="/xl/worksheets/sheet5.xml" Id="R560fd616e40f4398" /></Relationships>
</file>

<file path=xl/tables/table1.xml><?xml version="1.0" encoding="utf-8"?>
<x:table xmlns:x="http://schemas.openxmlformats.org/spreadsheetml/2006/main" id="1" name="PhilosophyRegister" displayName="PhilosophyRegister" ref="A1:Y104" headerRowCount="1" totalsRowCount="0" totalsRowShown="0">
  <x:autoFilter ref="A1:Y104"/>
  <x:tableColumns count="25">
    <x:tableColumn id="1" name="№"/>
    <x:tableColumn id="2" name="Страна"/>
    <x:tableColumn id="3" name="Национальное объединение философов"/>
    <x:tableColumn id="4" name="Название на языке оригинала"/>
    <x:tableColumn id="5" name="Тип организации"/>
    <x:tableColumn id="6" name="Организационная / институциональная база"/>
    <x:tableColumn id="7" name="Официальный сайт"/>
    <x:tableColumn id="8" name="Основной журнал сообщества"/>
    <x:tableColumn id="9" name="Ссылка на журнал"/>
    <x:tableColumn id="10" name="Дополнительный журнал"/>
    <x:tableColumn id="11" name="Ссылка на дополнительный журнал"/>
    <x:tableColumn id="12" name="Facebook"/>
    <x:tableColumn id="13" name="Instagram"/>
    <x:tableColumn id="14" name="X / Twitter"/>
    <x:tableColumn id="15" name="LinkedIn"/>
    <x:tableColumn id="16" name="YouTube"/>
    <x:tableColumn id="17" name="Telegram"/>
    <x:tableColumn id="18" name="Другие социальные сети"/>
    <x:tableColumn id="19" name="Первый руководитель"/>
    <x:tableColumn id="20" name="Должность руководителя"/>
    <x:tableColumn id="21" name="Источник информации о руководителе"/>
    <x:tableColumn id="22" name="Источник, подтверждающий статус организации"/>
    <x:tableColumn id="23" name="Международное членство"/>
    <x:tableColumn id="24" name="Примечание"/>
    <x:tableColumn id="25" name="Дата проверки информаци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ases" displayName="ReviewCases" ref="A1:G186" headerRowCount="1" totalsRowCount="0" totalsRowShown="0">
  <x:autoFilter ref="A1:G186"/>
  <x:tableColumns count="7">
    <x:tableColumn id="1" name="Страна"/>
    <x:tableColumn id="2" name="Организация"/>
    <x:tableColumn id="3" name="Проблемный вопрос"/>
    <x:tableColumn id="4" name="Что удалось установить"/>
    <x:tableColumn id="5" name="Что необходимо дополнительно проверить"/>
    <x:tableColumn id="6" name="Источник"/>
    <x:tableColumn id="7" name="Дата провер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ryCoverage" displayName="CountryCoverage" ref="A1:J198" headerRowCount="1" totalsRowCount="0" totalsRowShown="0">
  <x:autoFilter ref="A1:J198"/>
  <x:tableColumns count="10">
    <x:tableColumn id="1" name="Страна"/>
    <x:tableColumn id="2" name="Регион"/>
    <x:tableColumn id="3" name="Результат исследования"/>
    <x:tableColumn id="4" name="Найденные объединения"/>
    <x:tableColumn id="5" name="Проверенные поисковые запросы"/>
    <x:tableColumn id="6" name="Основной источник"/>
    <x:tableColumn id="7" name="Примечание"/>
    <x:tableColumn id="8" name="Дата проверки"/>
    <x:tableColumn id="9" name="Объем охвата"/>
    <x:tableColumn id="10" name="Число строк реестра для региональной сводк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" displayName="SourceRegister" ref="A1:H448" headerRowCount="1" totalsRowCount="0" totalsRowShown="0">
  <x:autoFilter ref="A1:H448"/>
  <x:tableColumns count="8">
    <x:tableColumn id="1" name="№"/>
    <x:tableColumn id="2" name="Страна"/>
    <x:tableColumn id="3" name="Организация"/>
    <x:tableColumn id="4" name="Что подтверждает источник"/>
    <x:tableColumn id="5" name="Прямой URL"/>
    <x:tableColumn id="6" name="Результат проверки доступности"/>
    <x:tableColumn id="7" name="Дата проверки"/>
    <x:tableColumn id="8" name="URL после переадресаци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pr:Relationships xmlns:pr="http://schemas.openxmlformats.org/package/2006/relationships"><pr:Relationship Type="http://schemas.openxmlformats.org/officeDocument/2006/relationships/table" Target="/xl/tables/table1.xml" Id="Rb0a117a75f3b416b" /><pr:Relationship Id="rIdURL1" Type="http://schemas.openxmlformats.org/officeDocument/2006/relationships/hyperlink" Target="https://aap.org.au/" TargetMode="External" /><pr:Relationship Id="rIdURL2" Type="http://schemas.openxmlformats.org/officeDocument/2006/relationships/hyperlink" Target="https://aap.org.au/AJP" TargetMode="External" /><pr:Relationship Id="rIdURL3" Type="http://schemas.openxmlformats.org/officeDocument/2006/relationships/hyperlink" Target="https://aap.org.au/APR" TargetMode="External" /><pr:Relationship Id="rIdURL4" Type="http://schemas.openxmlformats.org/officeDocument/2006/relationships/hyperlink" Target="https://www.facebook.com/AustralasianAssociationofPhilosophy" TargetMode="External" /><pr:Relationship Id="rIdURL5" Type="http://schemas.openxmlformats.org/officeDocument/2006/relationships/hyperlink" Target="https://twitter.com/AAPhilosophy" TargetMode="External" /><pr:Relationship Id="rIdURL6" Type="http://schemas.openxmlformats.org/officeDocument/2006/relationships/hyperlink" Target="https://www.youtube.com/@australasianassociationofp7413/featured" TargetMode="External" /><pr:Relationship Id="rIdURL7" Type="http://schemas.openxmlformats.org/officeDocument/2006/relationships/hyperlink" Target="https://bsky.app/profile/aaphilosophy.bsky.social" TargetMode="External" /><pr:Relationship Id="rIdURL8" Type="http://schemas.openxmlformats.org/officeDocument/2006/relationships/hyperlink" Target="https://aap.org.au/about/Board" TargetMode="External" /><pr:Relationship Id="rIdURL9" Type="http://schemas.openxmlformats.org/officeDocument/2006/relationships/hyperlink" Target="https://aap.org.au/about/Board" TargetMode="External" /><pr:Relationship Id="rIdURL10" Type="http://schemas.openxmlformats.org/officeDocument/2006/relationships/hyperlink" Target="https://oegp.org/" TargetMode="External" /><pr:Relationship Id="rIdURL11" Type="http://schemas.openxmlformats.org/officeDocument/2006/relationships/hyperlink" Target="https://oegp.org/praesidium/" TargetMode="External" /><pr:Relationship Id="rIdURL12" Type="http://schemas.openxmlformats.org/officeDocument/2006/relationships/hyperlink" Target="https://oegp.org/" TargetMode="External" /><pr:Relationship Id="rIdURL13" Type="http://schemas.openxmlformats.org/officeDocument/2006/relationships/hyperlink" Target="https://afra.org.ar/" TargetMode="External" /><pr:Relationship Id="rIdURL14" Type="http://schemas.openxmlformats.org/officeDocument/2006/relationships/hyperlink" Target="https://www.facebook.com/afra.filosofia" TargetMode="External" /><pr:Relationship Id="rIdURL15" Type="http://schemas.openxmlformats.org/officeDocument/2006/relationships/hyperlink" Target="https://afra.org.ar/?page_id=89" TargetMode="External" /><pr:Relationship Id="rIdURL16" Type="http://schemas.openxmlformats.org/officeDocument/2006/relationships/hyperlink" Target="https://afra.org.ar/" TargetMode="External" /><pr:Relationship Id="rIdURL17" Type="http://schemas.openxmlformats.org/officeDocument/2006/relationships/hyperlink" Target="https://soarfil.wordpress.com/" TargetMode="External" /><pr:Relationship Id="rIdURL18" Type="http://schemas.openxmlformats.org/officeDocument/2006/relationships/hyperlink" Target="https://www.fisp.org/members/national-societies" TargetMode="External" /><pr:Relationship Id="rIdURL19" Type="http://schemas.openxmlformats.org/officeDocument/2006/relationships/hyperlink" Target="https://apha.am/" TargetMode="External" /><pr:Relationship Id="rIdURL20" Type="http://schemas.openxmlformats.org/officeDocument/2006/relationships/hyperlink" Target="https://www.fisp.org/members/national-societies" TargetMode="External" /><pr:Relationship Id="rIdURL21" Type="http://schemas.openxmlformats.org/officeDocument/2006/relationships/hyperlink" Target="https://www.bssnews.net/news-flash/410663" TargetMode="External" /><pr:Relationship Id="rIdURL22" Type="http://schemas.openxmlformats.org/officeDocument/2006/relationships/hyperlink" Target="https://philosophy.by/en/community/society/" TargetMode="External" /><pr:Relationship Id="rIdURL23" Type="http://schemas.openxmlformats.org/officeDocument/2006/relationships/hyperlink" Target="https://philosophy.by/en/community/society/" TargetMode="External" /><pr:Relationship Id="rIdURL24" Type="http://schemas.openxmlformats.org/officeDocument/2006/relationships/hyperlink" Target="https://www.sobelphi.be/" TargetMode="External" /><pr:Relationship Id="rIdURL25" Type="http://schemas.openxmlformats.org/officeDocument/2006/relationships/hyperlink" Target="https://asplf.org/liste-des-societes/" TargetMode="External" /><pr:Relationship Id="rIdURL26" Type="http://schemas.openxmlformats.org/officeDocument/2006/relationships/hyperlink" Target="https://www.bec.uac.bj/uploads/publication/ea52179f022d46342eb43f3a15d39e9e.pdf" TargetMode="External" /><pr:Relationship Id="rIdURL27" Type="http://schemas.openxmlformats.org/officeDocument/2006/relationships/hyperlink" Target="https://asplf.org/liste-des-societes/" TargetMode="External" /><pr:Relationship Id="rIdURL28" Type="http://schemas.openxmlformats.org/officeDocument/2006/relationships/hyperlink" Target="https://bulgarianphilosophicalsociety.wordpress.com/" TargetMode="External" /><pr:Relationship Id="rIdURL29" Type="http://schemas.openxmlformats.org/officeDocument/2006/relationships/hyperlink" Target="https://bulgarianphilosophicalsociety.wordpress.com/" TargetMode="External" /><pr:Relationship Id="rIdURL30" Type="http://schemas.openxmlformats.org/officeDocument/2006/relationships/hyperlink" Target="https://www.fdt.ba/" TargetMode="External" /><pr:Relationship Id="rIdURL31" Type="http://schemas.openxmlformats.org/officeDocument/2006/relationships/hyperlink" Target="https://theoria.fdt.ba/index.php/journal/about" TargetMode="External" /><pr:Relationship Id="rIdURL32" Type="http://schemas.openxmlformats.org/officeDocument/2006/relationships/hyperlink" Target="https://www.fdt.ba/o-nama/" TargetMode="External" /><pr:Relationship Id="rIdURL33" Type="http://schemas.openxmlformats.org/officeDocument/2006/relationships/hyperlink" Target="https://www.academia-de-filosofia.org.br/" TargetMode="External" /><pr:Relationship Id="rIdURL34" Type="http://schemas.openxmlformats.org/officeDocument/2006/relationships/hyperlink" Target="https://www.academia-de-filosofia.org.br/academia" TargetMode="External" /><pr:Relationship Id="rIdURL35" Type="http://schemas.openxmlformats.org/officeDocument/2006/relationships/hyperlink" Target="https://www.academia-de-filosofia.org.br/academia" TargetMode="External" /><pr:Relationship Id="rIdURL36" Type="http://schemas.openxmlformats.org/officeDocument/2006/relationships/hyperlink" Target="https://www.anpof.org/" TargetMode="External" /><pr:Relationship Id="rIdURL37" Type="http://schemas.openxmlformats.org/officeDocument/2006/relationships/hyperlink" Target="https://www.anpof.org/anpof/diretoria" TargetMode="External" /><pr:Relationship Id="rIdURL38" Type="http://schemas.openxmlformats.org/officeDocument/2006/relationships/hyperlink" Target="https://www.anpof.org/" TargetMode="External" /><pr:Relationship Id="rIdURL39" Type="http://schemas.openxmlformats.org/officeDocument/2006/relationships/hyperlink" Target="https://www.aristoteliansociety.org.uk/" TargetMode="External" /><pr:Relationship Id="rIdURL40" Type="http://schemas.openxmlformats.org/officeDocument/2006/relationships/hyperlink" Target="https://www.aristoteliansociety.org.uk/the-proceedings/the-journal/" TargetMode="External" /><pr:Relationship Id="rIdURL41" Type="http://schemas.openxmlformats.org/officeDocument/2006/relationships/hyperlink" Target="https://www.aristoteliansociety.org.uk/the-joint-session/" TargetMode="External" /><pr:Relationship Id="rIdURL42" Type="http://schemas.openxmlformats.org/officeDocument/2006/relationships/hyperlink" Target="https://www.facebook.com/aristotelian.society/" TargetMode="External" /><pr:Relationship Id="rIdURL43" Type="http://schemas.openxmlformats.org/officeDocument/2006/relationships/hyperlink" Target="https://twitter.com/Aristotweets" TargetMode="External" /><pr:Relationship Id="rIdURL44" Type="http://schemas.openxmlformats.org/officeDocument/2006/relationships/hyperlink" Target="https://bsky.app/profile/aristotsoc.bsky.social" TargetMode="External" /><pr:Relationship Id="rIdURL45" Type="http://schemas.openxmlformats.org/officeDocument/2006/relationships/hyperlink" Target="https://www.aristoteliansociety.org.uk/the-proceedings/the-2026-27-programme/" TargetMode="External" /><pr:Relationship Id="rIdURL46" Type="http://schemas.openxmlformats.org/officeDocument/2006/relationships/hyperlink" Target="https://www.aristoteliansociety.org.uk/about/" TargetMode="External" /><pr:Relationship Id="rIdURL47" Type="http://schemas.openxmlformats.org/officeDocument/2006/relationships/hyperlink" Target="https://bpa.ac.uk/" TargetMode="External" /><pr:Relationship Id="rIdURL48" Type="http://schemas.openxmlformats.org/officeDocument/2006/relationships/hyperlink" Target="https://twitter.com/BritishPhiloso1" TargetMode="External" /><pr:Relationship Id="rIdURL49" Type="http://schemas.openxmlformats.org/officeDocument/2006/relationships/hyperlink" Target="https://bpa.ac.uk/prizes2026/" TargetMode="External" /><pr:Relationship Id="rIdURL50" Type="http://schemas.openxmlformats.org/officeDocument/2006/relationships/hyperlink" Target="https://bpa.ac.uk/join/" TargetMode="External" /><pr:Relationship Id="rIdURL51" Type="http://schemas.openxmlformats.org/officeDocument/2006/relationships/hyperlink" Target="https://magyarfilozofiaitarsasag.wordpress.com/" TargetMode="External" /><pr:Relationship Id="rIdURL52" Type="http://schemas.openxmlformats.org/officeDocument/2006/relationships/hyperlink" Target="https://www.facebook.com/profile.php?id=100028121366860" TargetMode="External" /><pr:Relationship Id="rIdURL53" Type="http://schemas.openxmlformats.org/officeDocument/2006/relationships/hyperlink" Target="https://magyarfilozofiaitarsasag.wordpress.com/elnokseg/" TargetMode="External" /><pr:Relationship Id="rIdURL54" Type="http://schemas.openxmlformats.org/officeDocument/2006/relationships/hyperlink" Target="https://magyarfilozofiaitarsasag.wordpress.com/alapszabaly/" TargetMode="External" /><pr:Relationship Id="rIdURL55" Type="http://schemas.openxmlformats.org/officeDocument/2006/relationships/hyperlink" Target="https://www.fisp.org/members/national-societies" TargetMode="External" /><pr:Relationship Id="rIdURL56" Type="http://schemas.openxmlformats.org/officeDocument/2006/relationships/hyperlink" Target="https://hoitriethoc.com/" TargetMode="External" /><pr:Relationship Id="rIdURL57" Type="http://schemas.openxmlformats.org/officeDocument/2006/relationships/hyperlink" Target="https://hoitriethoc.com/thong-bao-ket-qua-dai-hoi-nhiem-ky-ii-2026-2031-cua-hoi-triet-hoc-viet-nam/" TargetMode="External" /><pr:Relationship Id="rIdURL58" Type="http://schemas.openxmlformats.org/officeDocument/2006/relationships/hyperlink" Target="https://hoitriethoc.com/" TargetMode="External" /><pr:Relationship Id="rIdURL59" Type="http://schemas.openxmlformats.org/officeDocument/2006/relationships/hyperlink" Target="https://agfil.org/" TargetMode="External" /><pr:Relationship Id="rIdURL60" Type="http://schemas.openxmlformats.org/officeDocument/2006/relationships/hyperlink" Target="https://azurrevista.com/" TargetMode="External" /><pr:Relationship Id="rIdURL61" Type="http://schemas.openxmlformats.org/officeDocument/2006/relationships/hyperlink" Target="https://www.fisp.org/members/national-societies" TargetMode="External" /><pr:Relationship Id="rIdURL62" Type="http://schemas.openxmlformats.org/officeDocument/2006/relationships/hyperlink" Target="https://www.dgphil.de/" TargetMode="External" /><pr:Relationship Id="rIdURL63" Type="http://schemas.openxmlformats.org/officeDocument/2006/relationships/hyperlink" Target="https://www.facebook.com/dgphil.offiziell/" TargetMode="External" /><pr:Relationship Id="rIdURL64" Type="http://schemas.openxmlformats.org/officeDocument/2006/relationships/hyperlink" Target="https://twitter.com/dgphil_ev" TargetMode="External" /><pr:Relationship Id="rIdURL65" Type="http://schemas.openxmlformats.org/officeDocument/2006/relationships/hyperlink" Target="https://www.dgphil.de/impressum/" TargetMode="External" /><pr:Relationship Id="rIdURL66" Type="http://schemas.openxmlformats.org/officeDocument/2006/relationships/hyperlink" Target="https://www.dgphil.de/" TargetMode="External" /><pr:Relationship Id="rIdURL67" Type="http://schemas.openxmlformats.org/officeDocument/2006/relationships/hyperlink" Target="https://philosophia.org.gr/" TargetMode="External" /><pr:Relationship Id="rIdURL68" Type="http://schemas.openxmlformats.org/officeDocument/2006/relationships/hyperlink" Target="https://philosophia.org.gr/elliniki-filosofiki-epitheorisi" TargetMode="External" /><pr:Relationship Id="rIdURL69" Type="http://schemas.openxmlformats.org/officeDocument/2006/relationships/hyperlink" Target="https://philosophia.org.gr/dioikisi-efe/dioikitiko-symvoylio" TargetMode="External" /><pr:Relationship Id="rIdURL70" Type="http://schemas.openxmlformats.org/officeDocument/2006/relationships/hyperlink" Target="https://philosophia.org.gr/" TargetMode="External" /><pr:Relationship Id="rIdURL71" Type="http://schemas.openxmlformats.org/officeDocument/2006/relationships/hyperlink" Target="https://www.filosofiskselskab.dk/" TargetMode="External" /><pr:Relationship Id="rIdURL72" Type="http://schemas.openxmlformats.org/officeDocument/2006/relationships/hyperlink" Target="https://www.filosofiskselskab.dk/aarbog" TargetMode="External" /><pr:Relationship Id="rIdURL73" Type="http://schemas.openxmlformats.org/officeDocument/2006/relationships/hyperlink" Target="https://www.filosofiskselskab.dk/anmeldelser" TargetMode="External" /><pr:Relationship Id="rIdURL74" Type="http://schemas.openxmlformats.org/officeDocument/2006/relationships/hyperlink" Target="https://www.filosofiskselskab.dk/bestyrelse" TargetMode="External" /><pr:Relationship Id="rIdURL75" Type="http://schemas.openxmlformats.org/officeDocument/2006/relationships/hyperlink" Target="https://www.filosofiskselskab.dk/vedtgter" TargetMode="External" /><pr:Relationship Id="rIdURL76" Type="http://schemas.openxmlformats.org/officeDocument/2006/relationships/hyperlink" Target="https://azurrevista.com/" TargetMode="External" /><pr:Relationship Id="rIdURL77" Type="http://schemas.openxmlformats.org/officeDocument/2006/relationships/hyperlink" Target="https://rediberoamericanafilosofia.com/acafi/" TargetMode="External" /><pr:Relationship Id="rIdURL78" Type="http://schemas.openxmlformats.org/officeDocument/2006/relationships/hyperlink" Target="https://acp.cd/nation/publication-dun-nouveau-numero-de-la-revue-dynamique-critique-par-lecole-philosophique-de-kisangani/" TargetMode="External" /><pr:Relationship Id="rIdURL79" Type="http://schemas.openxmlformats.org/officeDocument/2006/relationships/hyperlink" Target="https://mafa.journals.ekb.eg/" TargetMode="External" /><pr:Relationship Id="rIdURL80" Type="http://schemas.openxmlformats.org/officeDocument/2006/relationships/hyperlink" Target="https://www.dar-alifta.org/ar/articles/details/9775" TargetMode="External" /><pr:Relationship Id="rIdURL81" Type="http://schemas.openxmlformats.org/officeDocument/2006/relationships/hyperlink" Target="https://www.dar-alifta.org/ar/articles/details/9775" TargetMode="External" /><pr:Relationship Id="rIdURL82" Type="http://schemas.openxmlformats.org/officeDocument/2006/relationships/hyperlink" Target="https://www.vernonpress.com/index.php/author/12428" TargetMode="External" /><pr:Relationship Id="rIdURL83" Type="http://schemas.openxmlformats.org/officeDocument/2006/relationships/hyperlink" Target="https://www.fisp.org/members/national-societies" TargetMode="External" /><pr:Relationship Id="rIdURL84" Type="http://schemas.openxmlformats.org/officeDocument/2006/relationships/hyperlink" Target="https://www.abdpindia.net/" TargetMode="External" /><pr:Relationship Id="rIdURL85" Type="http://schemas.openxmlformats.org/officeDocument/2006/relationships/hyperlink" Target="https://www.fisp.org/members/national-societies" TargetMode="External" /><pr:Relationship Id="rIdURL86" Type="http://schemas.openxmlformats.org/officeDocument/2006/relationships/hyperlink" Target="https://indianphilosophicalcongress.in/" TargetMode="External" /><pr:Relationship Id="rIdURL87" Type="http://schemas.openxmlformats.org/officeDocument/2006/relationships/hyperlink" Target="https://indianphilosophicalcongress.in/" TargetMode="External" /><pr:Relationship Id="rIdURL88" Type="http://schemas.openxmlformats.org/officeDocument/2006/relationships/hyperlink" Target="https://www.fisp.org/members/national-societies" TargetMode="External" /><pr:Relationship Id="rIdURL89" Type="http://schemas.openxmlformats.org/officeDocument/2006/relationships/hyperlink" Target="https://www.ammonnews.net/article/1030112" TargetMode="External" /><pr:Relationship Id="rIdURL90" Type="http://schemas.openxmlformats.org/officeDocument/2006/relationships/hyperlink" Target="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" TargetMode="External" /><pr:Relationship Id="rIdURL91" Type="http://schemas.openxmlformats.org/officeDocument/2006/relationships/hyperlink" Target="https://ipso.ir/" TargetMode="External" /><pr:Relationship Id="rIdURL92" Type="http://schemas.openxmlformats.org/officeDocument/2006/relationships/hyperlink" Target="https://phm.znu.ac.ir/journal/about" TargetMode="External" /><pr:Relationship Id="rIdURL93" Type="http://schemas.openxmlformats.org/officeDocument/2006/relationships/hyperlink" Target="https://t.me/ipsoir" TargetMode="External" /><pr:Relationship Id="rIdURL94" Type="http://schemas.openxmlformats.org/officeDocument/2006/relationships/hyperlink" Target="https://ipso.ir/%D8%AF%D8%B1%D8%A8%D8%A7%D8%B1%DB%80-%D8%A7%D9%86%D8%AC%D9%85%D9%86/" TargetMode="External" /><pr:Relationship Id="rIdURL95" Type="http://schemas.openxmlformats.org/officeDocument/2006/relationships/hyperlink" Target="https://ipso.ir/%D8%AF%D8%B1%D8%A8%D8%A7%D8%B1%DB%80-%D8%A7%D9%86%D8%AC%D9%85%D9%86/" TargetMode="External" /><pr:Relationship Id="rIdURL96" Type="http://schemas.openxmlformats.org/officeDocument/2006/relationships/hyperlink" Target="https://www.irish-philosophical-society.ie/" TargetMode="External" /><pr:Relationship Id="rIdURL97" Type="http://schemas.openxmlformats.org/officeDocument/2006/relationships/hyperlink" Target="https://www.irish-philosophical-society.ie/yearbook/" TargetMode="External" /><pr:Relationship Id="rIdURL98" Type="http://schemas.openxmlformats.org/officeDocument/2006/relationships/hyperlink" Target="https://www.facebook.com/irishphilosophicalsociety" TargetMode="External" /><pr:Relationship Id="rIdURL99" Type="http://schemas.openxmlformats.org/officeDocument/2006/relationships/hyperlink" Target="https://x.com/irish_philos" TargetMode="External" /><pr:Relationship Id="rIdURL100" Type="http://schemas.openxmlformats.org/officeDocument/2006/relationships/hyperlink" Target="https://www.linkedin.com/company/irish-philosophical-society" TargetMode="External" /><pr:Relationship Id="rIdURL101" Type="http://schemas.openxmlformats.org/officeDocument/2006/relationships/hyperlink" Target="https://www.irish-philosophical-society.ie/who/" TargetMode="External" /><pr:Relationship Id="rIdURL102" Type="http://schemas.openxmlformats.org/officeDocument/2006/relationships/hyperlink" Target="https://www.irish-philosophical-society.ie/" TargetMode="External" /><pr:Relationship Id="rIdURL103" Type="http://schemas.openxmlformats.org/officeDocument/2006/relationships/hyperlink" Target="https://heimspeki.hi.is/fah-hugur/" TargetMode="External" /><pr:Relationship Id="rIdURL104" Type="http://schemas.openxmlformats.org/officeDocument/2006/relationships/hyperlink" Target="https://heimspeki.hi.is/fah-hugur/" TargetMode="External" /><pr:Relationship Id="rIdURL105" Type="http://schemas.openxmlformats.org/officeDocument/2006/relationships/hyperlink" Target="http://www.facebook.com/pages/Felag-ahugamanna-um-heimspeki/152004208166986" TargetMode="External" /><pr:Relationship Id="rIdURL106" Type="http://schemas.openxmlformats.org/officeDocument/2006/relationships/hyperlink" Target="https://heimspeki.hi.is/fah-hugur/" TargetMode="External" /><pr:Relationship Id="rIdURL107" Type="http://schemas.openxmlformats.org/officeDocument/2006/relationships/hyperlink" Target="https://heimspeki.hi.is/fah-hugur/" TargetMode="External" /><pr:Relationship Id="rIdURL108" Type="http://schemas.openxmlformats.org/officeDocument/2006/relationships/hyperlink" Target="https://safil.es/" TargetMode="External" /><pr:Relationship Id="rIdURL109" Type="http://schemas.openxmlformats.org/officeDocument/2006/relationships/hyperlink" Target="https://www.facebook.com/FilosofiaSAF" TargetMode="External" /><pr:Relationship Id="rIdURL110" Type="http://schemas.openxmlformats.org/officeDocument/2006/relationships/hyperlink" Target="https://twitter.com/FilosofiaSAF" TargetMode="External" /><pr:Relationship Id="rIdURL111" Type="http://schemas.openxmlformats.org/officeDocument/2006/relationships/hyperlink" Target="https://safil.es/standard-page-image" TargetMode="External" /><pr:Relationship Id="rIdURL112" Type="http://schemas.openxmlformats.org/officeDocument/2006/relationships/hyperlink" Target="https://www.fisp.org/members/national-societies" TargetMode="External" /><pr:Relationship Id="rIdURL113" Type="http://schemas.openxmlformats.org/officeDocument/2006/relationships/hyperlink" Target="https://redfilosofia.es/" TargetMode="External" /><pr:Relationship Id="rIdURL114" Type="http://schemas.openxmlformats.org/officeDocument/2006/relationships/hyperlink" Target="https://www.fisp.org/members/national-societies" TargetMode="External" /><pr:Relationship Id="rIdURL115" Type="http://schemas.openxmlformats.org/officeDocument/2006/relationships/hyperlink" Target="https://www.sfi.it/" TargetMode="External" /><pr:Relationship Id="rIdURL116" Type="http://schemas.openxmlformats.org/officeDocument/2006/relationships/hyperlink" Target="https://www.sfi.it/258/bollettino.html" TargetMode="External" /><pr:Relationship Id="rIdURL117" Type="http://schemas.openxmlformats.org/officeDocument/2006/relationships/hyperlink" Target="https://www.sfi.it/259/comunicazione-filosofica.html" TargetMode="External" /><pr:Relationship Id="rIdURL118" Type="http://schemas.openxmlformats.org/officeDocument/2006/relationships/hyperlink" Target="https://www.sfi.it/files/download/2026/Brochure%20Convegno%20SFI%20Perugia%20%281%29.pdf" TargetMode="External" /><pr:Relationship Id="rIdURL119" Type="http://schemas.openxmlformats.org/officeDocument/2006/relationships/hyperlink" Target="https://www.sfi.it/246/sfi.html" TargetMode="External" /><pr:Relationship Id="rIdURL120" Type="http://schemas.openxmlformats.org/officeDocument/2006/relationships/hyperlink" Target="https://www.consultanazionalefilosofia.it/" TargetMode="External" /><pr:Relationship Id="rIdURL121" Type="http://schemas.openxmlformats.org/officeDocument/2006/relationships/hyperlink" Target="https://www.fisp.org/members/national-societies" TargetMode="External" /><pr:Relationship Id="rIdURL122" Type="http://schemas.openxmlformats.org/officeDocument/2006/relationships/hyperlink" Target="https://iphras.ru/page20845806.htm" TargetMode="External" /><pr:Relationship Id="rIdURL123" Type="http://schemas.openxmlformats.org/officeDocument/2006/relationships/hyperlink" Target="https://al-farabi.kaznu.kz/?lang=kz&amp;page_id=2698" TargetMode="External" /><pr:Relationship Id="rIdURL124" Type="http://schemas.openxmlformats.org/officeDocument/2006/relationships/hyperlink" Target="https://www.editions-harmattan.fr/catalogue/livre/la-reinvention-de-luniversel/81915" TargetMode="External" /><pr:Relationship Id="rIdURL125" Type="http://schemas.openxmlformats.org/officeDocument/2006/relationships/hyperlink" Target="https://www.acpcpa.ca/" TargetMode="External" /><pr:Relationship Id="rIdURL126" Type="http://schemas.openxmlformats.org/officeDocument/2006/relationships/hyperlink" Target="https://www.acpcpa.ca/cpages/dialogue-home-1" TargetMode="External" /><pr:Relationship Id="rIdURL127" Type="http://schemas.openxmlformats.org/officeDocument/2006/relationships/hyperlink" Target="https://www.facebook.com/acpcpa.ca/" TargetMode="External" /><pr:Relationship Id="rIdURL128" Type="http://schemas.openxmlformats.org/officeDocument/2006/relationships/hyperlink" Target="https://linkedin.com/company/the-canadian-philosophical-association-l-association-canadienne-de-philosophie" TargetMode="External" /><pr:Relationship Id="rIdURL129" Type="http://schemas.openxmlformats.org/officeDocument/2006/relationships/hyperlink" Target="https://www.youtube.com/channel/UC1f8HrYA3GBP5lALz1myq7g" TargetMode="External" /><pr:Relationship Id="rIdURL130" Type="http://schemas.openxmlformats.org/officeDocument/2006/relationships/hyperlink" Target="https://www.acpcpa.ca/team/CPA-Executive-Committee" TargetMode="External" /><pr:Relationship Id="rIdURL131" Type="http://schemas.openxmlformats.org/officeDocument/2006/relationships/hyperlink" Target="https://www.acpcpa.ca/cpages/home-page" TargetMode="External" /><pr:Relationship Id="rIdURL132" Type="http://schemas.openxmlformats.org/officeDocument/2006/relationships/hyperlink" Target="https://www.ajol.info/index.php/tp" TargetMode="External" /><pr:Relationship Id="rIdURL133" Type="http://schemas.openxmlformats.org/officeDocument/2006/relationships/hyperlink" Target="https://philosophy.uonbi.ac.ke/node/165" TargetMode="External" /><pr:Relationship Id="rIdURL134" Type="http://schemas.openxmlformats.org/officeDocument/2006/relationships/hyperlink" Target="https://www.socolfil.org/" TargetMode="External" /><pr:Relationship Id="rIdURL135" Type="http://schemas.openxmlformats.org/officeDocument/2006/relationships/hyperlink" Target="https://www.facebook.com/socolfil.org" TargetMode="External" /><pr:Relationship Id="rIdURL136" Type="http://schemas.openxmlformats.org/officeDocument/2006/relationships/hyperlink" Target="https://twitter.com/socolfil" TargetMode="External" /><pr:Relationship Id="rIdURL137" Type="http://schemas.openxmlformats.org/officeDocument/2006/relationships/hyperlink" Target="https://www.youtube.com/c/socolfilorg" TargetMode="External" /><pr:Relationship Id="rIdURL138" Type="http://schemas.openxmlformats.org/officeDocument/2006/relationships/hyperlink" Target="https://www.socolfil.org/contacto/17-scf/junta-directiva-scf" TargetMode="External" /><pr:Relationship Id="rIdURL139" Type="http://schemas.openxmlformats.org/officeDocument/2006/relationships/hyperlink" Target="https://www.socolfil.org/scf/presentacion" TargetMode="External" /><pr:Relationship Id="rIdURL140" Type="http://schemas.openxmlformats.org/officeDocument/2006/relationships/hyperlink" Target="https://asplf.org/liste-des-societes/" TargetMode="External" /><pr:Relationship Id="rIdURL141" Type="http://schemas.openxmlformats.org/officeDocument/2006/relationships/hyperlink" Target="https://uni-pr.edu/lajme/kujtohet-kanti-ne-kohen-moderne-qe-po-i-le-pak-vend-filozofise" TargetMode="External" /><pr:Relationship Id="rIdURL142" Type="http://schemas.openxmlformats.org/officeDocument/2006/relationships/hyperlink" Target="https://asociacioncostarricensedefilosofia.com/" TargetMode="External" /><pr:Relationship Id="rIdURL143" Type="http://schemas.openxmlformats.org/officeDocument/2006/relationships/hyperlink" Target="https://azurrevista.com/" TargetMode="External" /><pr:Relationship Id="rIdURL144" Type="http://schemas.openxmlformats.org/officeDocument/2006/relationships/hyperlink" Target="https://asociacioncostarricensedefilosofia.com/junta-directiva/" TargetMode="External" /><pr:Relationship Id="rIdURL145" Type="http://schemas.openxmlformats.org/officeDocument/2006/relationships/hyperlink" Target="https://rediberoamericanafilosofia.com/acafi/" TargetMode="External" /><pr:Relationship Id="rIdURL146" Type="http://schemas.openxmlformats.org/officeDocument/2006/relationships/hyperlink" Target="https://www.fisp.org/members/national-societies" TargetMode="External" /><pr:Relationship Id="rIdURL147" Type="http://schemas.openxmlformats.org/officeDocument/2006/relationships/hyperlink" Target="https://scifilosoficas.blogspot.com/" TargetMode="External" /><pr:Relationship Id="rIdURL148" Type="http://schemas.openxmlformats.org/officeDocument/2006/relationships/hyperlink" Target="https://azurrevista.com/" TargetMode="External" /><pr:Relationship Id="rIdURL149" Type="http://schemas.openxmlformats.org/officeDocument/2006/relationships/hyperlink" Target="https://www.fisp.org/members/national-societies" TargetMode="External" /><pr:Relationship Id="rIdURL150" Type="http://schemas.openxmlformats.org/officeDocument/2006/relationships/hyperlink" Target="https://ul.edu.lb/ar/teachers/%D8%B3%D8%B9%D8%A7%D8%AF-%D9%85%D8%AD%D9%85%D8%AF-%D8%AA%D9%88%D9%81%D9%8A%D9%82-%D8%A7%D9%84%D8%AD%D9%83%D9%8A%D9%85/2869" TargetMode="External" /><pr:Relationship Id="rIdURL151" Type="http://schemas.openxmlformats.org/officeDocument/2006/relationships/hyperlink" Target="https://liasinstitute.com/ar/najib-elhassadi/" TargetMode="External" /><pr:Relationship Id="rIdURL152" Type="http://schemas.openxmlformats.org/officeDocument/2006/relationships/hyperlink" Target="https://www.lkti.lt/naujienos/kasmetine-lietuvos-filosofu-draugijos-konferencija-2026/" TargetMode="External" /><pr:Relationship Id="rIdURL153" Type="http://schemas.openxmlformats.org/officeDocument/2006/relationships/hyperlink" Target="https://www.fisp.org/members/national-societies" TargetMode="External" /><pr:Relationship Id="rIdURL154" Type="http://schemas.openxmlformats.org/officeDocument/2006/relationships/hyperlink" Target="https://ppfpm.org/" TargetMode="External" /><pr:Relationship Id="rIdURL155" Type="http://schemas.openxmlformats.org/officeDocument/2006/relationships/hyperlink" Target="https://ppfpm.org/tentang-kami/" TargetMode="External" /><pr:Relationship Id="rIdURL156" Type="http://schemas.openxmlformats.org/officeDocument/2006/relationships/hyperlink" Target="https://ppfpm.org/tentang-kami/" TargetMode="External" /><pr:Relationship Id="rIdURL157" Type="http://schemas.openxmlformats.org/officeDocument/2006/relationships/hyperlink" Target="https://www.philosophysharing.org/" TargetMode="External" /><pr:Relationship Id="rIdURL158" Type="http://schemas.openxmlformats.org/officeDocument/2006/relationships/hyperlink" Target="https://www.philosophysharing.org/publications" TargetMode="External" /><pr:Relationship Id="rIdURL159" Type="http://schemas.openxmlformats.org/officeDocument/2006/relationships/hyperlink" Target="https://www.facebook.com/Philosophy-Sharing-Malta-1173724952658306/" TargetMode="External" /><pr:Relationship Id="rIdURL160" Type="http://schemas.openxmlformats.org/officeDocument/2006/relationships/hyperlink" Target="https://www.instagram.com/philosophysharingmalta/" TargetMode="External" /><pr:Relationship Id="rIdURL161" Type="http://schemas.openxmlformats.org/officeDocument/2006/relationships/hyperlink" Target="https://www.philosophysharing.org/about-2" TargetMode="External" /><pr:Relationship Id="rIdURL162" Type="http://schemas.openxmlformats.org/officeDocument/2006/relationships/hyperlink" Target="https://www.philosophysharing.org/about-2" TargetMode="External" /><pr:Relationship Id="rIdURL163" Type="http://schemas.openxmlformats.org/officeDocument/2006/relationships/hyperlink" Target="https://www.fisp.org/members/national-societies" TargetMode="External" /><pr:Relationship Id="rIdURL164" Type="http://schemas.openxmlformats.org/officeDocument/2006/relationships/hyperlink" Target="https://www.sociedadmexicanadefilosofia.org/" TargetMode="External" /><pr:Relationship Id="rIdURL165" Type="http://schemas.openxmlformats.org/officeDocument/2006/relationships/hyperlink" Target="https://www.fisp.org/members/national-societies" TargetMode="External" /><pr:Relationship Id="rIdURL166" Type="http://schemas.openxmlformats.org/officeDocument/2006/relationships/hyperlink" Target="https://asociacionfilosoficamx.com/" TargetMode="External" /><pr:Relationship Id="rIdURL167" Type="http://schemas.openxmlformats.org/officeDocument/2006/relationships/hyperlink" Target="https://www.facebook.com/p/Asociaci%C3%B3n-Filos%C3%B3fica-de-M%C3%A9xico-AC-100083069895575/" TargetMode="External" /><pr:Relationship Id="rIdURL168" Type="http://schemas.openxmlformats.org/officeDocument/2006/relationships/hyperlink" Target="https://www.instagram.com/afilomex/" TargetMode="External" /><pr:Relationship Id="rIdURL169" Type="http://schemas.openxmlformats.org/officeDocument/2006/relationships/hyperlink" Target="https://x.com/afilomex" TargetMode="External" /><pr:Relationship Id="rIdURL170" Type="http://schemas.openxmlformats.org/officeDocument/2006/relationships/hyperlink" Target="https://www.youtube.com/@AfmOrgMx" TargetMode="External" /><pr:Relationship Id="rIdURL171" Type="http://schemas.openxmlformats.org/officeDocument/2006/relationships/hyperlink" Target="https://asociacionfilosoficamx.com/consejo-directivo-2026-2028/" TargetMode="External" /><pr:Relationship Id="rIdURL172" Type="http://schemas.openxmlformats.org/officeDocument/2006/relationships/hyperlink" Target="https://asociacionfilosoficamx.com/" TargetMode="External" /><pr:Relationship Id="rIdURL173" Type="http://schemas.openxmlformats.org/officeDocument/2006/relationships/hyperlink" Target="https://asociatiapentrufilosofie.wordpress.com/" TargetMode="External" /><pr:Relationship Id="rIdURL174" Type="http://schemas.openxmlformats.org/officeDocument/2006/relationships/hyperlink" Target="https://msuir.usm.md/server/api/core/bitstreams/a3729c09-7480-44bf-ad49-1e6b87ae0a90/content" TargetMode="External" /><pr:Relationship Id="rIdURL175" Type="http://schemas.openxmlformats.org/officeDocument/2006/relationships/hyperlink" Target="https://www.mongolianphilosophy.org/" TargetMode="External" /><pr:Relationship Id="rIdURL176" Type="http://schemas.openxmlformats.org/officeDocument/2006/relationships/hyperlink" Target="https://www.fisp.org/members/national-societies" TargetMode="External" /><pr:Relationship Id="rIdURL177" Type="http://schemas.openxmlformats.org/officeDocument/2006/relationships/hyperlink" Target="https://www.fisp.org/members/national-societies" TargetMode="External" /><pr:Relationship Id="rIdURL178" Type="http://schemas.openxmlformats.org/officeDocument/2006/relationships/hyperlink" Target="https://www.appon.org.ng/" TargetMode="External" /><pr:Relationship Id="rIdURL179" Type="http://schemas.openxmlformats.org/officeDocument/2006/relationships/hyperlink" Target="https://www.fisp.org/members/national-societies" TargetMode="External" /><pr:Relationship Id="rIdURL180" Type="http://schemas.openxmlformats.org/officeDocument/2006/relationships/hyperlink" Target="https://www.pan-edu.org/" TargetMode="External" /><pr:Relationship Id="rIdURL181" Type="http://schemas.openxmlformats.org/officeDocument/2006/relationships/hyperlink" Target="https://ujws.uniosun.edu.ng/ijpc/issue/download/5/33" TargetMode="External" /><pr:Relationship Id="rIdURL182" Type="http://schemas.openxmlformats.org/officeDocument/2006/relationships/hyperlink" Target="https://www.fisp.org/members/national-societies" TargetMode="External" /><pr:Relationship Id="rIdURL183" Type="http://schemas.openxmlformats.org/officeDocument/2006/relationships/hyperlink" Target="https://www.ozsw.nl/" TargetMode="External" /><pr:Relationship Id="rIdURL184" Type="http://schemas.openxmlformats.org/officeDocument/2006/relationships/hyperlink" Target="https://www.ozsw.nl/about-the-ozsw/" TargetMode="External" /><pr:Relationship Id="rIdURL185" Type="http://schemas.openxmlformats.org/officeDocument/2006/relationships/hyperlink" Target="https://www.ozsw.nl/about-the-ozsw/" TargetMode="External" /><pr:Relationship Id="rIdURL186" Type="http://schemas.openxmlformats.org/officeDocument/2006/relationships/hyperlink" Target="https://www.philosophyhouse.ae/" TargetMode="External" /><pr:Relationship Id="rIdURL187" Type="http://schemas.openxmlformats.org/officeDocument/2006/relationships/hyperlink" Target="https://www.facebook.com/philosophyhouse.ae" TargetMode="External" /><pr:Relationship Id="rIdURL188" Type="http://schemas.openxmlformats.org/officeDocument/2006/relationships/hyperlink" Target="https://www.instagram.com/philosophyhouse.ae/" TargetMode="External" /><pr:Relationship Id="rIdURL189" Type="http://schemas.openxmlformats.org/officeDocument/2006/relationships/hyperlink" Target="https://x.com/philosophy_UAE" TargetMode="External" /><pr:Relationship Id="rIdURL190" Type="http://schemas.openxmlformats.org/officeDocument/2006/relationships/hyperlink" Target="https://www.youtube.com/@philosophyhouse-ae" TargetMode="External" /><pr:Relationship Id="rIdURL191" Type="http://schemas.openxmlformats.org/officeDocument/2006/relationships/hyperlink" Target="https://culturalmap.gov.ae/ar/facilities/philosophy-house" TargetMode="External" /><pr:Relationship Id="rIdURL192" Type="http://schemas.openxmlformats.org/officeDocument/2006/relationships/hyperlink" Target="https://cifpy.wordpress.com/institucional/" TargetMode="External" /><pr:Relationship Id="rIdURL193" Type="http://schemas.openxmlformats.org/officeDocument/2006/relationships/hyperlink" Target="https://sociedadperuanadefilosofia.org.pe/" TargetMode="External" /><pr:Relationship Id="rIdURL194" Type="http://schemas.openxmlformats.org/officeDocument/2006/relationships/hyperlink" Target="https://elperuano.pe/noticia/295932-lo-peruano-sigue-siendo-un-desafio" TargetMode="External" /><pr:Relationship Id="rIdURL195" Type="http://schemas.openxmlformats.org/officeDocument/2006/relationships/hyperlink" Target="https://sociedadperuanadefilosofia.org.pe/nuestra-historia/" TargetMode="External" /><pr:Relationship Id="rIdURL196" Type="http://schemas.openxmlformats.org/officeDocument/2006/relationships/hyperlink" Target="https://ptfilozofia.pl/" TargetMode="External" /><pr:Relationship Id="rIdURL197" Type="http://schemas.openxmlformats.org/officeDocument/2006/relationships/hyperlink" Target="https://ptfilozofia.pl/strony-ptf/ptf-wydawnictwa/" TargetMode="External" /><pr:Relationship Id="rIdURL198" Type="http://schemas.openxmlformats.org/officeDocument/2006/relationships/hyperlink" Target="https://ptfilozofia.pl/strony-ptf/ptf-zarzad/" TargetMode="External" /><pr:Relationship Id="rIdURL199" Type="http://schemas.openxmlformats.org/officeDocument/2006/relationships/hyperlink" Target="https://ptfilozofia.pl/strony-ptf/ptf-statut/" TargetMode="External" /><pr:Relationship Id="rIdURL200" Type="http://schemas.openxmlformats.org/officeDocument/2006/relationships/hyperlink" Target="https://www.spfil.pt/" TargetMode="External" /><pr:Relationship Id="rIdURL201" Type="http://schemas.openxmlformats.org/officeDocument/2006/relationships/hyperlink" Target="https://www.facebook.com/Sociedade-Portuguesa-de-Filosofia-343152035785797/" TargetMode="External" /><pr:Relationship Id="rIdURL202" Type="http://schemas.openxmlformats.org/officeDocument/2006/relationships/hyperlink" Target="https://www.spfil.pt/orgaos" TargetMode="External" /><pr:Relationship Id="rIdURL203" Type="http://schemas.openxmlformats.org/officeDocument/2006/relationships/hyperlink" Target="https://www.spfil.pt/" TargetMode="External" /><pr:Relationship Id="rIdURL204" Type="http://schemas.openxmlformats.org/officeDocument/2006/relationships/hyperlink" Target="https://xn--n1adm.xn--p1acf/" TargetMode="External" /><pr:Relationship Id="rIdURL205" Type="http://schemas.openxmlformats.org/officeDocument/2006/relationships/hyperlink" Target="https://xn--n1adm.xn--p1acf/%d0%bd%d0%be%d0%b2%d1%8b%d0%b9-%d0%b2%d1%8b%d0%bf%d1%83%d1%81%d0%ba/" TargetMode="External" /><pr:Relationship Id="rIdURL206" Type="http://schemas.openxmlformats.org/officeDocument/2006/relationships/hyperlink" Target="https://xn--n1adm.xn--p1acf/2026/06/ix-%D1%80%D0%BE%D1%81%D1%81%D0%B8%D0%B9%D1%81%D0%BA%D0%B8%D0%B9-%D1%84%D0%B8%D0%BB%D0%BE%D1%81%D0%BE%D1%84%D1%81%D0%BA%D0%B8%D0%B9-%D0%BA%D0%BE%D0%BD%D0%B3%D1%80%D0%B5%D1%81%D1%81-%D1%84%D0%B8-2/" TargetMode="External" /><pr:Relationship Id="rIdURL207" Type="http://schemas.openxmlformats.org/officeDocument/2006/relationships/hyperlink" Target="https://www.fisp.org/members/national-societies" TargetMode="External" /><pr:Relationship Id="rIdURL208" Type="http://schemas.openxmlformats.org/officeDocument/2006/relationships/hyperlink" Target="https://www.unesco.rw/IMG/pdf/007_december_2016.pdf" TargetMode="External" /><pr:Relationship Id="rIdURL209" Type="http://schemas.openxmlformats.org/officeDocument/2006/relationships/hyperlink" Target="https://azurrevista.com/" TargetMode="External" /><pr:Relationship Id="rIdURL210" Type="http://schemas.openxmlformats.org/officeDocument/2006/relationships/hyperlink" Target="https://azurrevista.com/wp-content/uploads/2026/08/1_Acta-del-XIV-Congreso-Centroamericano-de-Filosofia.html" TargetMode="External" /><pr:Relationship Id="rIdURL211" Type="http://schemas.openxmlformats.org/officeDocument/2006/relationships/hyperlink" Target="https://saudiphilosophy.com/?lang=ar" TargetMode="External" /><pr:Relationship Id="rIdURL212" Type="http://schemas.openxmlformats.org/officeDocument/2006/relationships/hyperlink" Target="https://www.facebook.com/%D8%AC%D9%85%D8%B9%D9%8A%D8%A9-%D8%A7%D9%84%D9%81%D9%84%D8%B3%D9%81%D8%A9-105731148432942" TargetMode="External" /><pr:Relationship Id="rIdURL213" Type="http://schemas.openxmlformats.org/officeDocument/2006/relationships/hyperlink" Target="https://www.instagram.com/philosophysaudi/" TargetMode="External" /><pr:Relationship Id="rIdURL214" Type="http://schemas.openxmlformats.org/officeDocument/2006/relationships/hyperlink" Target="https://twitter.com/PhilosophySaudi" TargetMode="External" /><pr:Relationship Id="rIdURL215" Type="http://schemas.openxmlformats.org/officeDocument/2006/relationships/hyperlink" Target="https://www.youtube.com/channel/UCrErglr0qSJCY03zAAQT7lA" TargetMode="External" /><pr:Relationship Id="rIdURL216" Type="http://schemas.openxmlformats.org/officeDocument/2006/relationships/hyperlink" Target="https://saudiphilosophy.com/wp-content/uploads/2024/11/PHOTO-2024-11-06-08-36-23.jpg" TargetMode="External" /><pr:Relationship Id="rIdURL217" Type="http://schemas.openxmlformats.org/officeDocument/2006/relationships/hyperlink" Target="https://saudiphilosophy.com/about/?lang=ar" TargetMode="External" /><pr:Relationship Id="rIdURL218" Type="http://schemas.openxmlformats.org/officeDocument/2006/relationships/hyperlink" Target="https://fdm.mk/" TargetMode="External" /><pr:Relationship Id="rIdURL219" Type="http://schemas.openxmlformats.org/officeDocument/2006/relationships/hyperlink" Target="https://fdm.mk/filozofska-tribina/" TargetMode="External" /><pr:Relationship Id="rIdURL220" Type="http://schemas.openxmlformats.org/officeDocument/2006/relationships/hyperlink" Target="https://www.facebook.com/philosophicalsocietyofmacedonia" TargetMode="External" /><pr:Relationship Id="rIdURL221" Type="http://schemas.openxmlformats.org/officeDocument/2006/relationships/hyperlink" Target="https://www.youtube.com/channel/UCyJH6pTyOc7qWw5Gte9wisg/featured" TargetMode="External" /><pr:Relationship Id="rIdURL222" Type="http://schemas.openxmlformats.org/officeDocument/2006/relationships/hyperlink" Target="https://fdm.mk/za-nas/" TargetMode="External" /><pr:Relationship Id="rIdURL223" Type="http://schemas.openxmlformats.org/officeDocument/2006/relationships/hyperlink" Target="https://caribbeanphilosophy.org/ecole-africaine-de-philosophie" TargetMode="External" /><pr:Relationship Id="rIdURL224" Type="http://schemas.openxmlformats.org/officeDocument/2006/relationships/hyperlink" Target="https://editions.ucad.sn/series/serie_2/revue_22" TargetMode="External" /><pr:Relationship Id="rIdURL225" Type="http://schemas.openxmlformats.org/officeDocument/2006/relationships/hyperlink" Target="https://www.fisp.org/members/national-societies" TargetMode="External" /><pr:Relationship Id="rIdURL226" Type="http://schemas.openxmlformats.org/officeDocument/2006/relationships/hyperlink" Target="https://www.doiserbia.nb.rs/journal.aspx?issn=0351-2274" TargetMode="External" /><pr:Relationship Id="rIdURL227" Type="http://schemas.openxmlformats.org/officeDocument/2006/relationships/hyperlink" Target="https://nafasep.ucg.ac.me/assets/dok/Knjiga%20apstrakata%202025.pdf" TargetMode="External" /><pr:Relationship Id="rIdURL228" Type="http://schemas.openxmlformats.org/officeDocument/2006/relationships/hyperlink" Target="https://nitra.gov.rs/images/nauka/Kategorizacija%20naucnih%20casopisa/2025-05-13/lista-casopisa-2024.pdf" TargetMode="External" /><pr:Relationship Id="rIdURL229" Type="http://schemas.openxmlformats.org/officeDocument/2006/relationships/hyperlink" Target="https://www.sfz.sk/" TargetMode="External" /><pr:Relationship Id="rIdURL230" Type="http://schemas.openxmlformats.org/officeDocument/2006/relationships/hyperlink" Target="https://www.fisp.org/members/national-societies" TargetMode="External" /><pr:Relationship Id="rIdURL231" Type="http://schemas.openxmlformats.org/officeDocument/2006/relationships/hyperlink" Target="https://www.sfd-drustvo.si/" TargetMode="External" /><pr:Relationship Id="rIdURL232" Type="http://schemas.openxmlformats.org/officeDocument/2006/relationships/hyperlink" Target="http://www.anthropos.si/" TargetMode="External" /><pr:Relationship Id="rIdURL233" Type="http://schemas.openxmlformats.org/officeDocument/2006/relationships/hyperlink" Target="https://www.facebook.com/Slovenskofilozofskodrustvo" TargetMode="External" /><pr:Relationship Id="rIdURL234" Type="http://schemas.openxmlformats.org/officeDocument/2006/relationships/hyperlink" Target="https://www.instagram.com/slovenskofilozofsko/" TargetMode="External" /><pr:Relationship Id="rIdURL235" Type="http://schemas.openxmlformats.org/officeDocument/2006/relationships/hyperlink" Target="https://twitter.com/SlovenskoD" TargetMode="External" /><pr:Relationship Id="rIdURL236" Type="http://schemas.openxmlformats.org/officeDocument/2006/relationships/hyperlink" Target="https://www.sfd-drustvo.si/o-drustvu/" TargetMode="External" /><pr:Relationship Id="rIdURL237" Type="http://schemas.openxmlformats.org/officeDocument/2006/relationships/hyperlink" Target="https://www.sfd-drustvo.si/o-drustvu/" TargetMode="External" /><pr:Relationship Id="rIdURL238" Type="http://schemas.openxmlformats.org/officeDocument/2006/relationships/hyperlink" Target="https://www.apaonline.org/" TargetMode="External" /><pr:Relationship Id="rIdURL239" Type="http://schemas.openxmlformats.org/officeDocument/2006/relationships/hyperlink" Target="https://www.apaonline.org/page/journal/Journal-of-the-American-Philosophical-Association" TargetMode="External" /><pr:Relationship Id="rIdURL240" Type="http://schemas.openxmlformats.org/officeDocument/2006/relationships/hyperlink" Target="https://www.apaonline.org/page/publications" TargetMode="External" /><pr:Relationship Id="rIdURL241" Type="http://schemas.openxmlformats.org/officeDocument/2006/relationships/hyperlink" Target="https://www.apaonline.org/news/718414/Marya-Schechtman-elected-new-APA-board-chair.htm" TargetMode="External" /><pr:Relationship Id="rIdURL242" Type="http://schemas.openxmlformats.org/officeDocument/2006/relationships/hyperlink" Target="https://www.apaonline.org/page/mission" TargetMode="External" /><pr:Relationship Id="rIdURL243" Type="http://schemas.openxmlformats.org/officeDocument/2006/relationships/hyperlink" Target="https://parst.or.th/" TargetMode="External" /><pr:Relationship Id="rIdURL244" Type="http://schemas.openxmlformats.org/officeDocument/2006/relationships/hyperlink" Target="https://so04.tci-thaijo.org/index.php/parst/" TargetMode="External" /><pr:Relationship Id="rIdURL245" Type="http://schemas.openxmlformats.org/officeDocument/2006/relationships/hyperlink" Target="https://www.fisp.org/members/national-societies" TargetMode="External" /><pr:Relationship Id="rIdURL246" Type="http://schemas.openxmlformats.org/officeDocument/2006/relationships/hyperlink" Target="https://tpatw.org/conference/3440/" TargetMode="External" /><pr:Relationship Id="rIdURL247" Type="http://schemas.openxmlformats.org/officeDocument/2006/relationships/hyperlink" Target="https://tpatw.org/" TargetMode="External" /><pr:Relationship Id="rIdURL248" Type="http://schemas.openxmlformats.org/officeDocument/2006/relationships/hyperlink" Target="https://www.facebook.com/tpa.net" TargetMode="External" /><pr:Relationship Id="rIdURL249" Type="http://schemas.openxmlformats.org/officeDocument/2006/relationships/hyperlink" Target="https://tpatw.org/abouttpa/organize_14/" TargetMode="External" /><pr:Relationship Id="rIdURL250" Type="http://schemas.openxmlformats.org/officeDocument/2006/relationships/hyperlink" Target="https://tpatw.org/abouttpa/constitution/" TargetMode="External" /><pr:Relationship Id="rIdURL251" Type="http://schemas.openxmlformats.org/officeDocument/2006/relationships/hyperlink" Target="https://jo.gouv.tg/sites/default/files/annee/2013/jo%202013-29ter%20suppl.pdf" TargetMode="External" /><pr:Relationship Id="rIdURL252" Type="http://schemas.openxmlformats.org/officeDocument/2006/relationships/hyperlink" Target="https://ateph.wordpress.com/" TargetMode="External" /><pr:Relationship Id="rIdURL253" Type="http://schemas.openxmlformats.org/officeDocument/2006/relationships/hyperlink" Target="https://asplf.org/liste-des-societes/" TargetMode="External" /><pr:Relationship Id="rIdURL254" Type="http://schemas.openxmlformats.org/officeDocument/2006/relationships/hyperlink" Target="https://www.tfk.org.tr/" TargetMode="External" /><pr:Relationship Id="rIdURL255" Type="http://schemas.openxmlformats.org/officeDocument/2006/relationships/hyperlink" Target="https://www.instagram.com/trfelsefekurumu/" TargetMode="External" /><pr:Relationship Id="rIdURL256" Type="http://schemas.openxmlformats.org/officeDocument/2006/relationships/hyperlink" Target="https://twitter.com/TRFelsefeKurumu" TargetMode="External" /><pr:Relationship Id="rIdURL257" Type="http://schemas.openxmlformats.org/officeDocument/2006/relationships/hyperlink" Target="https://www.tfk.org.tr/k-a-m-u-o-y-u-n-a-d-u-y-u-r-u562.html" TargetMode="External" /><pr:Relationship Id="rIdURL258" Type="http://schemas.openxmlformats.org/officeDocument/2006/relationships/hyperlink" Target="https://www.tfk.org.tr/" TargetMode="External" /><pr:Relationship Id="rIdURL259" Type="http://schemas.openxmlformats.org/officeDocument/2006/relationships/hyperlink" Target="https://www.fisp.org/members/national-societies" TargetMode="External" /><pr:Relationship Id="rIdURL260" Type="http://schemas.openxmlformats.org/officeDocument/2006/relationships/hyperlink" Target="https://www.fisp.org/members/national-societies" TargetMode="External" /><pr:Relationship Id="rIdURL261" Type="http://schemas.openxmlformats.org/officeDocument/2006/relationships/hyperlink" Target="https://sfu.org.uy/" TargetMode="External" /><pr:Relationship Id="rIdURL262" Type="http://schemas.openxmlformats.org/officeDocument/2006/relationships/hyperlink" Target="https://www.elenkhos.sfu.org.uy/index.php/home/" TargetMode="External" /><pr:Relationship Id="rIdURL263" Type="http://schemas.openxmlformats.org/officeDocument/2006/relationships/hyperlink" Target="https://sfu.org.uy/organos-de-gobierno/" TargetMode="External" /><pr:Relationship Id="rIdURL264" Type="http://schemas.openxmlformats.org/officeDocument/2006/relationships/hyperlink" Target="https://sfu.org.uy/estatutos/" TargetMode="External" /><pr:Relationship Id="rIdURL265" Type="http://schemas.openxmlformats.org/officeDocument/2006/relationships/hyperlink" Target="https://bisu.edu.ph/2025/06/17/philosophizing-the-filipino-soul-usapp-summit-champions-identity-ethics-and-cultural-reflection/" TargetMode="External" /><pr:Relationship Id="rIdURL266" Type="http://schemas.openxmlformats.org/officeDocument/2006/relationships/hyperlink" Target="https://www.fisp.org/members/national-societies" TargetMode="External" /><pr:Relationship Id="rIdURL267" Type="http://schemas.openxmlformats.org/officeDocument/2006/relationships/hyperlink" Target="https://www.pap73.site/" TargetMode="External" /><pr:Relationship Id="rIdURL268" Type="http://schemas.openxmlformats.org/officeDocument/2006/relationships/hyperlink" Target="https://suri.pap73.site/" TargetMode="External" /><pr:Relationship Id="rIdURL269" Type="http://schemas.openxmlformats.org/officeDocument/2006/relationships/hyperlink" Target="https://www.facebook.com/groups/PAP73" TargetMode="External" /><pr:Relationship Id="rIdURL270" Type="http://schemas.openxmlformats.org/officeDocument/2006/relationships/hyperlink" Target="https://www.pap73.site/board-members.html" TargetMode="External" /><pr:Relationship Id="rIdURL271" Type="http://schemas.openxmlformats.org/officeDocument/2006/relationships/hyperlink" Target="https://www.pap73.site/" TargetMode="External" /><pr:Relationship Id="rIdURL272" Type="http://schemas.openxmlformats.org/officeDocument/2006/relationships/hyperlink" Target="https://www.filosofinenyhdistys.fi/" TargetMode="External" /><pr:Relationship Id="rIdURL273" Type="http://schemas.openxmlformats.org/officeDocument/2006/relationships/hyperlink" Target="https://www.filosofinenyhdistys.fi/toiminta/ajatus/" TargetMode="External" /><pr:Relationship Id="rIdURL274" Type="http://schemas.openxmlformats.org/officeDocument/2006/relationships/hyperlink" Target="https://www.filosofinenyhdistys.fi/toiminta/acta-philosophica-fennica/" TargetMode="External" /><pr:Relationship Id="rIdURL275" Type="http://schemas.openxmlformats.org/officeDocument/2006/relationships/hyperlink" Target="https://www.facebook.com/filosofinenyhdistys/" TargetMode="External" /><pr:Relationship Id="rIdURL276" Type="http://schemas.openxmlformats.org/officeDocument/2006/relationships/hyperlink" Target="https://www.filosofinenyhdistys.fi/yhdistys/hallitus/" TargetMode="External" /><pr:Relationship Id="rIdURL277" Type="http://schemas.openxmlformats.org/officeDocument/2006/relationships/hyperlink" Target="https://www.filosofinenyhdistys.fi/yhdistys/saannot/" TargetMode="External" /><pr:Relationship Id="rIdURL278" Type="http://schemas.openxmlformats.org/officeDocument/2006/relationships/hyperlink" Target="https://www.sofrphilo.fr/" TargetMode="External" /><pr:Relationship Id="rIdURL279" Type="http://schemas.openxmlformats.org/officeDocument/2006/relationships/hyperlink" Target="https://www.sofrphilo.fr/category/bulletin-de-la-sfp/" TargetMode="External" /><pr:Relationship Id="rIdURL280" Type="http://schemas.openxmlformats.org/officeDocument/2006/relationships/hyperlink" Target="https://www.sofrphilo.fr/category/revue-de-metaphysique-et-de-morale/" TargetMode="External" /><pr:Relationship Id="rIdURL281" Type="http://schemas.openxmlformats.org/officeDocument/2006/relationships/hyperlink" Target="https://www.sofrphilo.fr/la-societe-francaise-de-philosophie/bureau-et-ca/" TargetMode="External" /><pr:Relationship Id="rIdURL282" Type="http://schemas.openxmlformats.org/officeDocument/2006/relationships/hyperlink" Target="https://www.sofrphilo.fr/" TargetMode="External" /><pr:Relationship Id="rIdURL283" Type="http://schemas.openxmlformats.org/officeDocument/2006/relationships/hyperlink" Target="https://www.hrfd.hr/" TargetMode="External" /><pr:Relationship Id="rIdURL284" Type="http://schemas.openxmlformats.org/officeDocument/2006/relationships/hyperlink" Target="https://www.hrfd.hr/filozofska-istrazivanja/" TargetMode="External" /><pr:Relationship Id="rIdURL285" Type="http://schemas.openxmlformats.org/officeDocument/2006/relationships/hyperlink" Target="https://www.hrfd.hr/synthesis-philosophica/" TargetMode="External" /><pr:Relationship Id="rIdURL286" Type="http://schemas.openxmlformats.org/officeDocument/2006/relationships/hyperlink" Target="https://www.hrfd.hr/o-hfd-u/upravni-i-nadzorni-odbor-hfd-a/" TargetMode="External" /><pr:Relationship Id="rIdURL287" Type="http://schemas.openxmlformats.org/officeDocument/2006/relationships/hyperlink" Target="https://www.hrfd.hr/o-hfd-u/statut-hfd-a/" TargetMode="External" /><pr:Relationship Id="rIdURL288" Type="http://schemas.openxmlformats.org/officeDocument/2006/relationships/hyperlink" Target="https://www.fisp.org/members/national-societies" TargetMode="External" /><pr:Relationship Id="rIdURL289" Type="http://schemas.openxmlformats.org/officeDocument/2006/relationships/hyperlink" Target="https://jednota-filozoficka.cz/" TargetMode="External" /><pr:Relationship Id="rIdURL290" Type="http://schemas.openxmlformats.org/officeDocument/2006/relationships/hyperlink" Target="https://stag.upol.cz/ects/fakulty/FIF/KFI/BJ20L?lang=cs" TargetMode="External" /><pr:Relationship Id="rIdURL291" Type="http://schemas.openxmlformats.org/officeDocument/2006/relationships/hyperlink" Target="https://www.achif.cl/" TargetMode="External" /><pr:Relationship Id="rIdURL292" Type="http://schemas.openxmlformats.org/officeDocument/2006/relationships/hyperlink" Target="https://cs-religiosas.uct.cl/noticias/x-congreso-nacional-de-filosofia-de-la-asociacion-chilena-de-filosofia-se-realizara-en-temuco/" TargetMode="External" /><pr:Relationship Id="rIdURL293" Type="http://schemas.openxmlformats.org/officeDocument/2006/relationships/hyperlink" Target="https://www.achif.cl/estatutos/" TargetMode="External" /><pr:Relationship Id="rIdURL294" Type="http://schemas.openxmlformats.org/officeDocument/2006/relationships/hyperlink" Target="https://www.sagw.ch/de/spg" TargetMode="External" /><pr:Relationship Id="rIdURL295" Type="http://schemas.openxmlformats.org/officeDocument/2006/relationships/hyperlink" Target="https://www.sagw.ch/de/spg/publikationen" TargetMode="External" /><pr:Relationship Id="rIdURL296" Type="http://schemas.openxmlformats.org/officeDocument/2006/relationships/hyperlink" Target="https://www.sagw.ch/de/spg/vorstand" TargetMode="External" /><pr:Relationship Id="rIdURL297" Type="http://schemas.openxmlformats.org/officeDocument/2006/relationships/hyperlink" Target="https://www.sagw.ch/de/spg/die-statuten" TargetMode="External" /><pr:Relationship Id="rIdURL298" Type="http://schemas.openxmlformats.org/officeDocument/2006/relationships/hyperlink" Target="https://www.umu.se/en/department-of-historical-philosophical-and-religious-studies/research/our-research-subjects/philosophy/swedish-congress-of-philosophy/" TargetMode="External" /><pr:Relationship Id="rIdURL299" Type="http://schemas.openxmlformats.org/officeDocument/2006/relationships/hyperlink" Target="https://recfil.org/" TargetMode="External" /><pr:Relationship Id="rIdURL300" Type="http://schemas.openxmlformats.org/officeDocument/2006/relationships/hyperlink" Target="https://www.facebook.com/redecuatorianafilosofia" TargetMode="External" /><pr:Relationship Id="rIdURL301" Type="http://schemas.openxmlformats.org/officeDocument/2006/relationships/hyperlink" Target="https://www.instagram.com/redecuatorianadefilosofia" TargetMode="External" /><pr:Relationship Id="rIdURL302" Type="http://schemas.openxmlformats.org/officeDocument/2006/relationships/hyperlink" Target="https://www.youtube.com/@redecuatorianadefilosofia" TargetMode="External" /><pr:Relationship Id="rIdURL303" Type="http://schemas.openxmlformats.org/officeDocument/2006/relationships/hyperlink" Target="https://recfil.org/manifiesto/" TargetMode="External" /><pr:Relationship Id="rIdURL304" Type="http://schemas.openxmlformats.org/officeDocument/2006/relationships/hyperlink" Target="https://philsafrica.wordpress.com/" TargetMode="External" /><pr:Relationship Id="rIdURL305" Type="http://schemas.openxmlformats.org/officeDocument/2006/relationships/hyperlink" Target="https://www.tandfonline.com/journals/rsph20" TargetMode="External" /><pr:Relationship Id="rIdURL306" Type="http://schemas.openxmlformats.org/officeDocument/2006/relationships/hyperlink" Target="https://ndabaonline.ukzn.ac.za/UkzndabaStory/volume-14-Issue-24/ukzn-philosophy-postgraduates-shine-at-national-symposium/" TargetMode="External" /><pr:Relationship Id="rIdURL307" Type="http://schemas.openxmlformats.org/officeDocument/2006/relationships/hyperlink" Target="https://www.fisp.org/members/national-societies" TargetMode="External" /><pr:Relationship Id="rIdURL308" Type="http://schemas.openxmlformats.org/officeDocument/2006/relationships/hyperlink" Target="https://hanchul.org/" TargetMode="External" /><pr:Relationship Id="rIdURL309" Type="http://schemas.openxmlformats.org/officeDocument/2006/relationships/hyperlink" Target="https://philosophy.jams.or.kr/co/main/jmMain.kci" TargetMode="External" /><pr:Relationship Id="rIdURL310" Type="http://schemas.openxmlformats.org/officeDocument/2006/relationships/hyperlink" Target="https://hanchul.org/homepage/custom/greeting" TargetMode="External" /><pr:Relationship Id="rIdURL311" Type="http://schemas.openxmlformats.org/officeDocument/2006/relationships/hyperlink" Target="https://hanchul.org/" TargetMode="External" /><pr:Relationship Id="rIdURL312" Type="http://schemas.openxmlformats.org/officeDocument/2006/relationships/hyperlink" Target="https://philosophy-japan.org/" TargetMode="External" /><pr:Relationship Id="rIdURL313" Type="http://schemas.openxmlformats.org/officeDocument/2006/relationships/hyperlink" Target="https://philosophy-japan.org/category/bulletin/" TargetMode="External" /><pr:Relationship Id="rIdURL314" Type="http://schemas.openxmlformats.org/officeDocument/2006/relationships/hyperlink" Target="https://philosophy-japan.org/category/tetsugaku/" TargetMode="External" /><pr:Relationship Id="rIdURL315" Type="http://schemas.openxmlformats.org/officeDocument/2006/relationships/hyperlink" Target="https://www.facebook.com/philosophy.japan.org" TargetMode="External" /><pr:Relationship Id="rIdURL316" Type="http://schemas.openxmlformats.org/officeDocument/2006/relationships/hyperlink" Target="https://philosophy-japan.org/summary/yakuin_2025-2026/" TargetMode="External" /><pr:Relationship Id="rIdURL317" Type="http://schemas.openxmlformats.org/officeDocument/2006/relationships/hyperlink" Target="https://philosophy-japan.org/category/summary/" TargetMode="External" /><pr:Relationship Id="rIdURL318" Type="http://schemas.openxmlformats.org/officeDocument/2006/relationships/hyperlink" Target="https://www.fisp.org/members/national-societies" TargetMode="External" /></pr:Relationships>
</file>

<file path=xl/worksheets/_rels/sheet3.xml.rels><?xml version='1.0' encoding='utf-8'?>
<pr:Relationships xmlns:pr="http://schemas.openxmlformats.org/package/2006/relationships"><pr:Relationship Type="http://schemas.openxmlformats.org/officeDocument/2006/relationships/table" Target="/xl/tables/table2.xml" Id="R8631c04609ca46c6" /><pr:Relationship Id="rIdURL1" Type="http://schemas.openxmlformats.org/officeDocument/2006/relationships/hyperlink" Target="https://afra.org.ar/?page_id=89" TargetMode="External" /><pr:Relationship Id="rIdURL2" Type="http://schemas.openxmlformats.org/officeDocument/2006/relationships/hyperlink" Target="https://www.fisp.org/members/national-societies" TargetMode="External" /><pr:Relationship Id="rIdURL3" Type="http://schemas.openxmlformats.org/officeDocument/2006/relationships/hyperlink" Target="https://www.fisp.org/members/national-societies" TargetMode="External" /><pr:Relationship Id="rIdURL4" Type="http://schemas.openxmlformats.org/officeDocument/2006/relationships/hyperlink" Target="https://www.bssnews.net/news-flash/410663" TargetMode="External" /><pr:Relationship Id="rIdURL5" Type="http://schemas.openxmlformats.org/officeDocument/2006/relationships/hyperlink" Target="https://philosophy.by/en/community/society/" TargetMode="External" /><pr:Relationship Id="rIdURL6" Type="http://schemas.openxmlformats.org/officeDocument/2006/relationships/hyperlink" Target="https://asplf.org/liste-des-societes/" TargetMode="External" /><pr:Relationship Id="rIdURL7" Type="http://schemas.openxmlformats.org/officeDocument/2006/relationships/hyperlink" Target="https://asplf.org/liste-des-societes/" TargetMode="External" /><pr:Relationship Id="rIdURL8" Type="http://schemas.openxmlformats.org/officeDocument/2006/relationships/hyperlink" Target="https://bulgarianphilosophicalsociety.wordpress.com/" TargetMode="External" /><pr:Relationship Id="rIdURL9" Type="http://schemas.openxmlformats.org/officeDocument/2006/relationships/hyperlink" Target="https://www.fdt.ba/o-nama/" TargetMode="External" /><pr:Relationship Id="rIdURL10" Type="http://schemas.openxmlformats.org/officeDocument/2006/relationships/hyperlink" Target="https://www.academia-de-filosofia.org.br/academia" TargetMode="External" /><pr:Relationship Id="rIdURL11" Type="http://schemas.openxmlformats.org/officeDocument/2006/relationships/hyperlink" Target="https://www.anpof.org/anpof/diretoria" TargetMode="External" /><pr:Relationship Id="rIdURL12" Type="http://schemas.openxmlformats.org/officeDocument/2006/relationships/hyperlink" Target="https://www.aristoteliansociety.org.uk/the-proceedings/the-2026-27-programme/" TargetMode="External" /><pr:Relationship Id="rIdURL13" Type="http://schemas.openxmlformats.org/officeDocument/2006/relationships/hyperlink" Target="https://bpa.ac.uk/prizes2026/" TargetMode="External" /><pr:Relationship Id="rIdURL14" Type="http://schemas.openxmlformats.org/officeDocument/2006/relationships/hyperlink" Target="https://www.fisp.org/members/national-societies" TargetMode="External" /><pr:Relationship Id="rIdURL15" Type="http://schemas.openxmlformats.org/officeDocument/2006/relationships/hyperlink" Target="https://www.fisp.org/members/national-societies" TargetMode="External" /><pr:Relationship Id="rIdURL16" Type="http://schemas.openxmlformats.org/officeDocument/2006/relationships/hyperlink" Target="https://azurrevista.com/wp-content/uploads/2026/08/1_Acta-del-XIV-Congreso-Centroamericano-de-Filosofia.html" TargetMode="External" /><pr:Relationship Id="rIdURL17" Type="http://schemas.openxmlformats.org/officeDocument/2006/relationships/hyperlink" Target="https://rediberoamericanafilosofia.com/acafi/" TargetMode="External" /><pr:Relationship Id="rIdURL18" Type="http://schemas.openxmlformats.org/officeDocument/2006/relationships/hyperlink" Target="https://acp.cd/nation/publication-dun-nouveau-numero-de-la-revue-dynamique-critique-par-lecole-philosophique-de-kisangani/" TargetMode="External" /><pr:Relationship Id="rIdURL19" Type="http://schemas.openxmlformats.org/officeDocument/2006/relationships/hyperlink" Target="https://www.dar-alifta.org/ar/articles/details/9775" TargetMode="External" /><pr:Relationship Id="rIdURL20" Type="http://schemas.openxmlformats.org/officeDocument/2006/relationships/hyperlink" Target="https://www.vernonpress.com/index.php/author/12428" TargetMode="External" /><pr:Relationship Id="rIdURL21" Type="http://schemas.openxmlformats.org/officeDocument/2006/relationships/hyperlink" Target="https://www.fisp.org/members/national-societies" TargetMode="External" /><pr:Relationship Id="rIdURL22" Type="http://schemas.openxmlformats.org/officeDocument/2006/relationships/hyperlink" Target="https://www.fisp.org/members/national-societies" TargetMode="External" /><pr:Relationship Id="rIdURL23" Type="http://schemas.openxmlformats.org/officeDocument/2006/relationships/hyperlink" Target="https://indianphilosophicalcongress.in/" TargetMode="External" /><pr:Relationship Id="rIdURL24" Type="http://schemas.openxmlformats.org/officeDocument/2006/relationships/hyperlink" Target="https://www.ammonnews.net/article/1030112" TargetMode="External" /><pr:Relationship Id="rIdURL25" Type="http://schemas.openxmlformats.org/officeDocument/2006/relationships/hyperlink" Target="https://heimspeki.hi.is/fah-hugur/" TargetMode="External" /><pr:Relationship Id="rIdURL26" Type="http://schemas.openxmlformats.org/officeDocument/2006/relationships/hyperlink" Target="https://safil.es/standard-page-image" TargetMode="External" /><pr:Relationship Id="rIdURL27" Type="http://schemas.openxmlformats.org/officeDocument/2006/relationships/hyperlink" Target="https://www.fisp.org/members/national-societies" TargetMode="External" /><pr:Relationship Id="rIdURL28" Type="http://schemas.openxmlformats.org/officeDocument/2006/relationships/hyperlink" Target="https://www.sfi.it/files/download/2026/Brochure%20Convegno%20SFI%20Perugia%20%281%29.pdf" TargetMode="External" /><pr:Relationship Id="rIdURL29" Type="http://schemas.openxmlformats.org/officeDocument/2006/relationships/hyperlink" Target="https://www.fisp.org/members/national-societies" TargetMode="External" /><pr:Relationship Id="rIdURL30" Type="http://schemas.openxmlformats.org/officeDocument/2006/relationships/hyperlink" Target="https://iphras.ru/page20845806.htm" TargetMode="External" /><pr:Relationship Id="rIdURL31" Type="http://schemas.openxmlformats.org/officeDocument/2006/relationships/hyperlink" Target="https://www.editions-harmattan.fr/catalogue/livre/la-reinvention-de-luniversel/81915" TargetMode="External" /><pr:Relationship Id="rIdURL32" Type="http://schemas.openxmlformats.org/officeDocument/2006/relationships/hyperlink" Target="https://philosophy.uonbi.ac.ke/node/165" TargetMode="External" /><pr:Relationship Id="rIdURL33" Type="http://schemas.openxmlformats.org/officeDocument/2006/relationships/hyperlink" Target="https://asplf.org/liste-des-societes/" TargetMode="External" /><pr:Relationship Id="rIdURL34" Type="http://schemas.openxmlformats.org/officeDocument/2006/relationships/hyperlink" Target="https://uni-pr.edu/lajme/kujtohet-kanti-ne-kohen-moderne-qe-po-i-le-pak-vend-filozofise" TargetMode="External" /><pr:Relationship Id="rIdURL35" Type="http://schemas.openxmlformats.org/officeDocument/2006/relationships/hyperlink" Target="https://www.fisp.org/members/national-societies" TargetMode="External" /><pr:Relationship Id="rIdURL36" Type="http://schemas.openxmlformats.org/officeDocument/2006/relationships/hyperlink" Target="https://www.fisp.org/members/national-societies" TargetMode="External" /><pr:Relationship Id="rIdURL37" Type="http://schemas.openxmlformats.org/officeDocument/2006/relationships/hyperlink" Target="https://ul.edu.lb/ar/teachers/%D8%B3%D8%B9%D8%A7%D8%AF-%D9%85%D8%AD%D9%85%D8%AF-%D8%AA%D9%88%D9%81%D9%8A%D9%82-%D8%A7%D9%84%D8%AD%D9%83%D9%8A%D9%85/2869" TargetMode="External" /><pr:Relationship Id="rIdURL38" Type="http://schemas.openxmlformats.org/officeDocument/2006/relationships/hyperlink" Target="https://liasinstitute.com/ar/najib-elhassadi/" TargetMode="External" /><pr:Relationship Id="rIdURL39" Type="http://schemas.openxmlformats.org/officeDocument/2006/relationships/hyperlink" Target="https://www.lkti.lt/naujienos/kasmetine-lietuvos-filosofu-draugijos-konferencija-2026/" TargetMode="External" /><pr:Relationship Id="rIdURL40" Type="http://schemas.openxmlformats.org/officeDocument/2006/relationships/hyperlink" Target="https://www.fisp.org/members/national-societies" TargetMode="External" /><pr:Relationship Id="rIdURL41" Type="http://schemas.openxmlformats.org/officeDocument/2006/relationships/hyperlink" Target="https://ppfpm.org/tentang-kami/" TargetMode="External" /><pr:Relationship Id="rIdURL42" Type="http://schemas.openxmlformats.org/officeDocument/2006/relationships/hyperlink" Target="https://www.philosophysharing.org/about-2" TargetMode="External" /><pr:Relationship Id="rIdURL43" Type="http://schemas.openxmlformats.org/officeDocument/2006/relationships/hyperlink" Target="https://www.fisp.org/members/national-societies" TargetMode="External" /><pr:Relationship Id="rIdURL44" Type="http://schemas.openxmlformats.org/officeDocument/2006/relationships/hyperlink" Target="https://www.fisp.org/members/national-societies" TargetMode="External" /><pr:Relationship Id="rIdURL45" Type="http://schemas.openxmlformats.org/officeDocument/2006/relationships/hyperlink" Target="https://asociacionfilosoficamx.com/consejo-directivo-2026-2028/" TargetMode="External" /><pr:Relationship Id="rIdURL46" Type="http://schemas.openxmlformats.org/officeDocument/2006/relationships/hyperlink" Target="https://msuir.usm.md/server/api/core/bitstreams/a3729c09-7480-44bf-ad49-1e6b87ae0a90/content" TargetMode="External" /><pr:Relationship Id="rIdURL47" Type="http://schemas.openxmlformats.org/officeDocument/2006/relationships/hyperlink" Target="https://www.fisp.org/members/national-societies" TargetMode="External" /><pr:Relationship Id="rIdURL48" Type="http://schemas.openxmlformats.org/officeDocument/2006/relationships/hyperlink" Target="https://www.fisp.org/members/national-societies" TargetMode="External" /><pr:Relationship Id="rIdURL49" Type="http://schemas.openxmlformats.org/officeDocument/2006/relationships/hyperlink" Target="https://www.fisp.org/members/national-societies" TargetMode="External" /><pr:Relationship Id="rIdURL50" Type="http://schemas.openxmlformats.org/officeDocument/2006/relationships/hyperlink" Target="https://ujws.uniosun.edu.ng/ijpc/issue/download/5/33" TargetMode="External" /><pr:Relationship Id="rIdURL51" Type="http://schemas.openxmlformats.org/officeDocument/2006/relationships/hyperlink" Target="https://www.ozsw.nl/about-the-ozsw/" TargetMode="External" /><pr:Relationship Id="rIdURL52" Type="http://schemas.openxmlformats.org/officeDocument/2006/relationships/hyperlink" Target="https://culturalmap.gov.ae/ar/facilities/philosophy-house" TargetMode="External" /><pr:Relationship Id="rIdURL53" Type="http://schemas.openxmlformats.org/officeDocument/2006/relationships/hyperlink" Target="https://azurrevista.com/wp-content/uploads/2026/08/1_Acta-del-XIV-Congreso-Centroamericano-de-Filosofia.html" TargetMode="External" /><pr:Relationship Id="rIdURL54" Type="http://schemas.openxmlformats.org/officeDocument/2006/relationships/hyperlink" Target="https://cifpy.wordpress.com/institucional/" TargetMode="External" /><pr:Relationship Id="rIdURL55" Type="http://schemas.openxmlformats.org/officeDocument/2006/relationships/hyperlink" Target="https://elperuano.pe/noticia/295932-lo-peruano-sigue-siendo-un-desafio" TargetMode="External" /><pr:Relationship Id="rIdURL56" Type="http://schemas.openxmlformats.org/officeDocument/2006/relationships/hyperlink" Target="https://www.unesco.rw/IMG/pdf/007_december_2016.pdf" TargetMode="External" /><pr:Relationship Id="rIdURL57" Type="http://schemas.openxmlformats.org/officeDocument/2006/relationships/hyperlink" Target="https://srfil.org/" TargetMode="External" /><pr:Relationship Id="rIdURL58" Type="http://schemas.openxmlformats.org/officeDocument/2006/relationships/hyperlink" Target="https://azurrevista.com/wp-content/uploads/2026/08/1_Acta-del-XIV-Congreso-Centroamericano-de-Filosofia.html" TargetMode="External" /><pr:Relationship Id="rIdURL59" Type="http://schemas.openxmlformats.org/officeDocument/2006/relationships/hyperlink" Target="https://saudiphilosophy.com/wp-content/uploads/2024/11/PHOTO-2024-11-06-08-36-23.jpg" TargetMode="External" /><pr:Relationship Id="rIdURL60" Type="http://schemas.openxmlformats.org/officeDocument/2006/relationships/hyperlink" Target="https://fdm.mk/za-nas/" TargetMode="External" /><pr:Relationship Id="rIdURL61" Type="http://schemas.openxmlformats.org/officeDocument/2006/relationships/hyperlink" Target="https://caribbeanphilosophy.org/ecole-africaine-de-philosophie" TargetMode="External" /><pr:Relationship Id="rIdURL62" Type="http://schemas.openxmlformats.org/officeDocument/2006/relationships/hyperlink" Target="https://www.fisp.org/members/national-societies" TargetMode="External" /><pr:Relationship Id="rIdURL63" Type="http://schemas.openxmlformats.org/officeDocument/2006/relationships/hyperlink" Target="https://nafasep.ucg.ac.me/assets/dok/Knjiga%20apstrakata%202025.pdf" TargetMode="External" /><pr:Relationship Id="rIdURL64" Type="http://schemas.openxmlformats.org/officeDocument/2006/relationships/hyperlink" Target="https://www.fisp.org/members/national-societies" TargetMode="External" /><pr:Relationship Id="rIdURL65" Type="http://schemas.openxmlformats.org/officeDocument/2006/relationships/hyperlink" Target="https://www.apaonline.org/news/718414/Marya-Schechtman-elected-new-APA-board-chair.htm" TargetMode="External" /><pr:Relationship Id="rIdURL66" Type="http://schemas.openxmlformats.org/officeDocument/2006/relationships/hyperlink" Target="https://www.fisp.org/members/national-societies" TargetMode="External" /><pr:Relationship Id="rIdURL67" Type="http://schemas.openxmlformats.org/officeDocument/2006/relationships/hyperlink" Target="https://tpatw.org/conference/3440/" TargetMode="External" /><pr:Relationship Id="rIdURL68" Type="http://schemas.openxmlformats.org/officeDocument/2006/relationships/hyperlink" Target="https://tpatw.org/abouttpa/organize_14/" TargetMode="External" /><pr:Relationship Id="rIdURL69" Type="http://schemas.openxmlformats.org/officeDocument/2006/relationships/hyperlink" Target="https://jo.gouv.tg/sites/default/files/annee/2013/jo%202013-29ter%20suppl.pdf" TargetMode="External" /><pr:Relationship Id="rIdURL70" Type="http://schemas.openxmlformats.org/officeDocument/2006/relationships/hyperlink" Target="https://asplf.org/liste-des-societes/" TargetMode="External" /><pr:Relationship Id="rIdURL71" Type="http://schemas.openxmlformats.org/officeDocument/2006/relationships/hyperlink" Target="https://www.tfk.org.tr/k-a-m-u-o-y-u-n-a-d-u-y-u-r-u562.html" TargetMode="External" /><pr:Relationship Id="rIdURL72" Type="http://schemas.openxmlformats.org/officeDocument/2006/relationships/hyperlink" Target="https://www.fisp.org/members/national-societies" TargetMode="External" /><pr:Relationship Id="rIdURL73" Type="http://schemas.openxmlformats.org/officeDocument/2006/relationships/hyperlink" Target="https://www.fisp.org/members/national-societies" TargetMode="External" /><pr:Relationship Id="rIdURL74" Type="http://schemas.openxmlformats.org/officeDocument/2006/relationships/hyperlink" Target="https://bisu.edu.ph/2025/06/17/philosophizing-the-filipino-soul-usapp-summit-champions-identity-ethics-and-cultural-reflection/" TargetMode="External" /><pr:Relationship Id="rIdURL75" Type="http://schemas.openxmlformats.org/officeDocument/2006/relationships/hyperlink" Target="https://www.fisp.org/members/national-societies" TargetMode="External" /><pr:Relationship Id="rIdURL76" Type="http://schemas.openxmlformats.org/officeDocument/2006/relationships/hyperlink" Target="https://www.pap73.site/board-members.html" TargetMode="External" /><pr:Relationship Id="rIdURL77" Type="http://schemas.openxmlformats.org/officeDocument/2006/relationships/hyperlink" Target="https://www.fisp.org/members/national-societies" TargetMode="External" /><pr:Relationship Id="rIdURL78" Type="http://schemas.openxmlformats.org/officeDocument/2006/relationships/hyperlink" Target="https://stag.upol.cz/ects/fakulty/FIF/KFI/BJ20L?lang=cs" TargetMode="External" /><pr:Relationship Id="rIdURL79" Type="http://schemas.openxmlformats.org/officeDocument/2006/relationships/hyperlink" Target="https://cs-religiosas.uct.cl/noticias/x-congreso-nacional-de-filosofia-de-la-asociacion-chilena-de-filosofia-se-realizara-en-temuco/" TargetMode="External" /><pr:Relationship Id="rIdURL80" Type="http://schemas.openxmlformats.org/officeDocument/2006/relationships/hyperlink" Target="https://www.umu.se/en/department-of-historical-philosophical-and-religious-studies/research/our-research-subjects/philosophy/swedish-congress-of-philosophy/" TargetMode="External" /><pr:Relationship Id="rIdURL81" Type="http://schemas.openxmlformats.org/officeDocument/2006/relationships/hyperlink" Target="https://recfil.org/manifiesto/" TargetMode="External" /><pr:Relationship Id="rIdURL82" Type="http://schemas.openxmlformats.org/officeDocument/2006/relationships/hyperlink" Target="https://philosophy-japan.org/summary/yakuin_2025-2026/" TargetMode="External" /><pr:Relationship Id="rIdURL83" Type="http://schemas.openxmlformats.org/officeDocument/2006/relationships/hyperlink" Target="https://www.fisp.org/members/national-societies" TargetMode="External" /></pr:Relationships>
</file>

<file path=xl/worksheets/_rels/sheet4.xml.rels><?xml version='1.0' encoding='utf-8'?>
<pr:Relationships xmlns:pr="http://schemas.openxmlformats.org/package/2006/relationships"><pr:Relationship Type="http://schemas.openxmlformats.org/officeDocument/2006/relationships/table" Target="/xl/tables/table3.xml" Id="R9dbfcfcbbc4247d9" /><pr:Relationship Id="rIdURL1" Type="http://schemas.openxmlformats.org/officeDocument/2006/relationships/hyperlink" Target="https://aap.org.au/about/Board" TargetMode="External" /><pr:Relationship Id="rIdURL2" Type="http://schemas.openxmlformats.org/officeDocument/2006/relationships/hyperlink" Target="https://oegp.org/" TargetMode="External" /><pr:Relationship Id="rIdURL3" Type="http://schemas.openxmlformats.org/officeDocument/2006/relationships/hyperlink" Target="https://afra.org.ar/" TargetMode="External" /><pr:Relationship Id="rIdURL4" Type="http://schemas.openxmlformats.org/officeDocument/2006/relationships/hyperlink" Target="https://www.fisp.org/members/national-societies" TargetMode="External" /><pr:Relationship Id="rIdURL5" Type="http://schemas.openxmlformats.org/officeDocument/2006/relationships/hyperlink" Target="https://www.bssnews.net/news-flash/410663" TargetMode="External" /><pr:Relationship Id="rIdURL6" Type="http://schemas.openxmlformats.org/officeDocument/2006/relationships/hyperlink" Target="https://philosophy.by/en/community/society/" TargetMode="External" /><pr:Relationship Id="rIdURL7" Type="http://schemas.openxmlformats.org/officeDocument/2006/relationships/hyperlink" Target="https://asplf.org/liste-des-societes/" TargetMode="External" /><pr:Relationship Id="rIdURL8" Type="http://schemas.openxmlformats.org/officeDocument/2006/relationships/hyperlink" Target="https://asplf.org/liste-des-societes/" TargetMode="External" /><pr:Relationship Id="rIdURL9" Type="http://schemas.openxmlformats.org/officeDocument/2006/relationships/hyperlink" Target="https://bulgarianphilosophicalsociety.wordpress.com/" TargetMode="External" /><pr:Relationship Id="rIdURL10" Type="http://schemas.openxmlformats.org/officeDocument/2006/relationships/hyperlink" Target="https://www.fdt.ba/o-nama/" TargetMode="External" /><pr:Relationship Id="rIdURL11" Type="http://schemas.openxmlformats.org/officeDocument/2006/relationships/hyperlink" Target="https://www.academia-de-filosofia.org.br/academia" TargetMode="External" /><pr:Relationship Id="rIdURL12" Type="http://schemas.openxmlformats.org/officeDocument/2006/relationships/hyperlink" Target="https://www.aristoteliansociety.org.uk/about/" TargetMode="External" /><pr:Relationship Id="rIdURL13" Type="http://schemas.openxmlformats.org/officeDocument/2006/relationships/hyperlink" Target="https://magyarfilozofiaitarsasag.wordpress.com/alapszabaly/" TargetMode="External" /><pr:Relationship Id="rIdURL14" Type="http://schemas.openxmlformats.org/officeDocument/2006/relationships/hyperlink" Target="https://www.fisp.org/members/national-societies" TargetMode="External" /><pr:Relationship Id="rIdURL15" Type="http://schemas.openxmlformats.org/officeDocument/2006/relationships/hyperlink" Target="https://hoitriethoc.com/" TargetMode="External" /><pr:Relationship Id="rIdURL16" Type="http://schemas.openxmlformats.org/officeDocument/2006/relationships/hyperlink" Target="https://www.fisp.org/members/national-societies" TargetMode="External" /><pr:Relationship Id="rIdURL17" Type="http://schemas.openxmlformats.org/officeDocument/2006/relationships/hyperlink" Target="https://www.dgphil.de/" TargetMode="External" /><pr:Relationship Id="rIdURL18" Type="http://schemas.openxmlformats.org/officeDocument/2006/relationships/hyperlink" Target="https://azurrevista.com/wp-content/uploads/2026/08/1_Acta-del-XIV-Congreso-Centroamericano-de-Filosofia.html" TargetMode="External" /><pr:Relationship Id="rIdURL19" Type="http://schemas.openxmlformats.org/officeDocument/2006/relationships/hyperlink" Target="https://philosophia.org.gr/" TargetMode="External" /><pr:Relationship Id="rIdURL20" Type="http://schemas.openxmlformats.org/officeDocument/2006/relationships/hyperlink" Target="https://www.filosofiskselskab.dk/vedtgter" TargetMode="External" /><pr:Relationship Id="rIdURL21" Type="http://schemas.openxmlformats.org/officeDocument/2006/relationships/hyperlink" Target="https://rediberoamericanafilosofia.com/acafi/" TargetMode="External" /><pr:Relationship Id="rIdURL22" Type="http://schemas.openxmlformats.org/officeDocument/2006/relationships/hyperlink" Target="https://acp.cd/nation/publication-dun-nouveau-numero-de-la-revue-dynamique-critique-par-lecole-philosophique-de-kisangani/" TargetMode="External" /><pr:Relationship Id="rIdURL23" Type="http://schemas.openxmlformats.org/officeDocument/2006/relationships/hyperlink" Target="https://www.dar-alifta.org/ar/articles/details/9775" TargetMode="External" /><pr:Relationship Id="rIdURL24" Type="http://schemas.openxmlformats.org/officeDocument/2006/relationships/hyperlink" Target="https://www.vernonpress.com/index.php/author/12428" TargetMode="External" /><pr:Relationship Id="rIdURL25" Type="http://schemas.openxmlformats.org/officeDocument/2006/relationships/hyperlink" Target="https://www.fisp.org/members/national-societies" TargetMode="External" /><pr:Relationship Id="rIdURL26" Type="http://schemas.openxmlformats.org/officeDocument/2006/relationships/hyperlink" Target="https://www.fisp.org/members/national-societies" TargetMode="External" /><pr:Relationship Id="rIdURL27" Type="http://schemas.openxmlformats.org/officeDocument/2006/relationships/hyperlink" Target="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" TargetMode="External" /><pr:Relationship Id="rIdURL28" Type="http://schemas.openxmlformats.org/officeDocument/2006/relationships/hyperlink" Target="https://ipso.ir/%D8%AF%D8%B1%D8%A8%D8%A7%D8%B1%DB%80-%D8%A7%D9%86%D8%AC%D9%85%D9%86/" TargetMode="External" /><pr:Relationship Id="rIdURL29" Type="http://schemas.openxmlformats.org/officeDocument/2006/relationships/hyperlink" Target="https://www.irish-philosophical-society.ie/" TargetMode="External" /><pr:Relationship Id="rIdURL30" Type="http://schemas.openxmlformats.org/officeDocument/2006/relationships/hyperlink" Target="https://heimspeki.hi.is/fah-hugur/" TargetMode="External" /><pr:Relationship Id="rIdURL31" Type="http://schemas.openxmlformats.org/officeDocument/2006/relationships/hyperlink" Target="https://www.fisp.org/members/national-societies" TargetMode="External" /><pr:Relationship Id="rIdURL32" Type="http://schemas.openxmlformats.org/officeDocument/2006/relationships/hyperlink" Target="https://www.sfi.it/246/sfi.html" TargetMode="External" /><pr:Relationship Id="rIdURL33" Type="http://schemas.openxmlformats.org/officeDocument/2006/relationships/hyperlink" Target="https://al-farabi.kaznu.kz/?lang=kz&amp;page_id=2698" TargetMode="External" /><pr:Relationship Id="rIdURL34" Type="http://schemas.openxmlformats.org/officeDocument/2006/relationships/hyperlink" Target="https://www.editions-harmattan.fr/catalogue/livre/la-reinvention-de-luniversel/81915" TargetMode="External" /><pr:Relationship Id="rIdURL35" Type="http://schemas.openxmlformats.org/officeDocument/2006/relationships/hyperlink" Target="https://www.acpcpa.ca/cpages/home-page" TargetMode="External" /><pr:Relationship Id="rIdURL36" Type="http://schemas.openxmlformats.org/officeDocument/2006/relationships/hyperlink" Target="https://philosophy.uonbi.ac.ke/node/165" TargetMode="External" /><pr:Relationship Id="rIdURL37" Type="http://schemas.openxmlformats.org/officeDocument/2006/relationships/hyperlink" Target="https://www.socolfil.org/scf/presentacion" TargetMode="External" /><pr:Relationship Id="rIdURL38" Type="http://schemas.openxmlformats.org/officeDocument/2006/relationships/hyperlink" Target="https://asplf.org/liste-des-societes/" TargetMode="External" /><pr:Relationship Id="rIdURL39" Type="http://schemas.openxmlformats.org/officeDocument/2006/relationships/hyperlink" Target="https://uni-pr.edu/lajme/kujtohet-kanti-ne-kohen-moderne-qe-po-i-le-pak-vend-filozofise" TargetMode="External" /><pr:Relationship Id="rIdURL40" Type="http://schemas.openxmlformats.org/officeDocument/2006/relationships/hyperlink" Target="https://rediberoamericanafilosofia.com/acafi/" TargetMode="External" /><pr:Relationship Id="rIdURL41" Type="http://schemas.openxmlformats.org/officeDocument/2006/relationships/hyperlink" Target="https://www.fisp.org/members/national-societies" TargetMode="External" /><pr:Relationship Id="rIdURL42" Type="http://schemas.openxmlformats.org/officeDocument/2006/relationships/hyperlink" Target="https://www.fisp.org/members/national-societies" TargetMode="External" /><pr:Relationship Id="rIdURL43" Type="http://schemas.openxmlformats.org/officeDocument/2006/relationships/hyperlink" Target="https://ul.edu.lb/ar/teachers/%D8%B3%D8%B9%D8%A7%D8%AF-%D9%85%D8%AD%D9%85%D8%AF-%D8%AA%D9%88%D9%81%D9%8A%D9%82-%D8%A7%D9%84%D8%AD%D9%83%D9%8A%D9%85/2869" TargetMode="External" /><pr:Relationship Id="rIdURL44" Type="http://schemas.openxmlformats.org/officeDocument/2006/relationships/hyperlink" Target="https://liasinstitute.com/ar/najib-elhassadi/" TargetMode="External" /><pr:Relationship Id="rIdURL45" Type="http://schemas.openxmlformats.org/officeDocument/2006/relationships/hyperlink" Target="https://www.lkti.lt/naujienos/kasmetine-lietuvos-filosofu-draugijos-konferencija-2026/" TargetMode="External" /><pr:Relationship Id="rIdURL46" Type="http://schemas.openxmlformats.org/officeDocument/2006/relationships/hyperlink" Target="https://www.fisp.org/members/national-societies" TargetMode="External" /><pr:Relationship Id="rIdURL47" Type="http://schemas.openxmlformats.org/officeDocument/2006/relationships/hyperlink" Target="https://ppfpm.org/tentang-kami/" TargetMode="External" /><pr:Relationship Id="rIdURL48" Type="http://schemas.openxmlformats.org/officeDocument/2006/relationships/hyperlink" Target="https://www.philosophysharing.org/about-2" TargetMode="External" /><pr:Relationship Id="rIdURL49" Type="http://schemas.openxmlformats.org/officeDocument/2006/relationships/hyperlink" Target="https://www.fisp.org/members/national-societies" TargetMode="External" /><pr:Relationship Id="rIdURL50" Type="http://schemas.openxmlformats.org/officeDocument/2006/relationships/hyperlink" Target="https://asociacionfilosoficamx.com/" TargetMode="External" /><pr:Relationship Id="rIdURL51" Type="http://schemas.openxmlformats.org/officeDocument/2006/relationships/hyperlink" Target="https://msuir.usm.md/server/api/core/bitstreams/a3729c09-7480-44bf-ad49-1e6b87ae0a90/content" TargetMode="External" /><pr:Relationship Id="rIdURL52" Type="http://schemas.openxmlformats.org/officeDocument/2006/relationships/hyperlink" Target="https://www.fisp.org/members/national-societies" TargetMode="External" /><pr:Relationship Id="rIdURL53" Type="http://schemas.openxmlformats.org/officeDocument/2006/relationships/hyperlink" Target="https://www.fisp.org/members/national-societies" TargetMode="External" /><pr:Relationship Id="rIdURL54" Type="http://schemas.openxmlformats.org/officeDocument/2006/relationships/hyperlink" Target="https://www.fisp.org/members/national-societies" TargetMode="External" /><pr:Relationship Id="rIdURL55" Type="http://schemas.openxmlformats.org/officeDocument/2006/relationships/hyperlink" Target="https://www.ozsw.nl/about-the-ozsw/" TargetMode="External" /><pr:Relationship Id="rIdURL56" Type="http://schemas.openxmlformats.org/officeDocument/2006/relationships/hyperlink" Target="https://aap.org.au/about/Board" TargetMode="External" /><pr:Relationship Id="rIdURL57" Type="http://schemas.openxmlformats.org/officeDocument/2006/relationships/hyperlink" Target="https://culturalmap.gov.ae/ar/facilities/philosophy-house" TargetMode="External" /><pr:Relationship Id="rIdURL58" Type="http://schemas.openxmlformats.org/officeDocument/2006/relationships/hyperlink" Target="https://azurrevista.com/wp-content/uploads/2026/08/1_Acta-del-XIV-Congreso-Centroamericano-de-Filosofia.html" TargetMode="External" /><pr:Relationship Id="rIdURL59" Type="http://schemas.openxmlformats.org/officeDocument/2006/relationships/hyperlink" Target="https://cifpy.wordpress.com/institucional/" TargetMode="External" /><pr:Relationship Id="rIdURL60" Type="http://schemas.openxmlformats.org/officeDocument/2006/relationships/hyperlink" Target="https://sociedadperuanadefilosofia.org.pe/nuestra-historia/" TargetMode="External" /><pr:Relationship Id="rIdURL61" Type="http://schemas.openxmlformats.org/officeDocument/2006/relationships/hyperlink" Target="https://ptfilozofia.pl/strony-ptf/ptf-statut/" TargetMode="External" /><pr:Relationship Id="rIdURL62" Type="http://schemas.openxmlformats.org/officeDocument/2006/relationships/hyperlink" Target="https://www.spfil.pt/" TargetMode="External" /><pr:Relationship Id="rIdURL63" Type="http://schemas.openxmlformats.org/officeDocument/2006/relationships/hyperlink" Target="https://www.fisp.org/members/national-societies" TargetMode="External" /><pr:Relationship Id="rIdURL64" Type="http://schemas.openxmlformats.org/officeDocument/2006/relationships/hyperlink" Target="https://www.unesco.rw/IMG/pdf/007_december_2016.pdf" TargetMode="External" /><pr:Relationship Id="rIdURL65" Type="http://schemas.openxmlformats.org/officeDocument/2006/relationships/hyperlink" Target="https://srfil.org/" TargetMode="External" /><pr:Relationship Id="rIdURL66" Type="http://schemas.openxmlformats.org/officeDocument/2006/relationships/hyperlink" Target="https://azurrevista.com/wp-content/uploads/2026/08/1_Acta-del-XIV-Congreso-Centroamericano-de-Filosofia.html" TargetMode="External" /><pr:Relationship Id="rIdURL67" Type="http://schemas.openxmlformats.org/officeDocument/2006/relationships/hyperlink" Target="https://saudiphilosophy.com/about/?lang=ar" TargetMode="External" /><pr:Relationship Id="rIdURL68" Type="http://schemas.openxmlformats.org/officeDocument/2006/relationships/hyperlink" Target="https://fdm.mk/za-nas/" TargetMode="External" /><pr:Relationship Id="rIdURL69" Type="http://schemas.openxmlformats.org/officeDocument/2006/relationships/hyperlink" Target="https://caribbeanphilosophy.org/ecole-africaine-de-philosophie" TargetMode="External" /><pr:Relationship Id="rIdURL70" Type="http://schemas.openxmlformats.org/officeDocument/2006/relationships/hyperlink" Target="https://nitra.gov.rs/images/nauka/Kategorizacija%20naucnih%20casopisa/2025-05-13/lista-casopisa-2024.pdf" TargetMode="External" /><pr:Relationship Id="rIdURL71" Type="http://schemas.openxmlformats.org/officeDocument/2006/relationships/hyperlink" Target="https://aap.org.au/about/Board" TargetMode="External" /><pr:Relationship Id="rIdURL72" Type="http://schemas.openxmlformats.org/officeDocument/2006/relationships/hyperlink" Target="https://www.fisp.org/members/national-societies" TargetMode="External" /><pr:Relationship Id="rIdURL73" Type="http://schemas.openxmlformats.org/officeDocument/2006/relationships/hyperlink" Target="https://www.sfd-drustvo.si/o-drustvu/" TargetMode="External" /><pr:Relationship Id="rIdURL74" Type="http://schemas.openxmlformats.org/officeDocument/2006/relationships/hyperlink" Target="https://www.apaonline.org/page/mission" TargetMode="External" /><pr:Relationship Id="rIdURL75" Type="http://schemas.openxmlformats.org/officeDocument/2006/relationships/hyperlink" Target="https://www.fisp.org/members/national-societies" TargetMode="External" /><pr:Relationship Id="rIdURL76" Type="http://schemas.openxmlformats.org/officeDocument/2006/relationships/hyperlink" Target="https://tpatw.org/conference/3440/" TargetMode="External" /><pr:Relationship Id="rIdURL77" Type="http://schemas.openxmlformats.org/officeDocument/2006/relationships/hyperlink" Target="https://jo.gouv.tg/sites/default/files/annee/2013/jo%202013-29ter%20suppl.pdf" TargetMode="External" /><pr:Relationship Id="rIdURL78" Type="http://schemas.openxmlformats.org/officeDocument/2006/relationships/hyperlink" Target="https://asplf.org/liste-des-societes/" TargetMode="External" /><pr:Relationship Id="rIdURL79" Type="http://schemas.openxmlformats.org/officeDocument/2006/relationships/hyperlink" Target="https://www.tfk.org.tr/" TargetMode="External" /><pr:Relationship Id="rIdURL80" Type="http://schemas.openxmlformats.org/officeDocument/2006/relationships/hyperlink" Target="https://www.fisp.org/members/national-societies" TargetMode="External" /><pr:Relationship Id="rIdURL81" Type="http://schemas.openxmlformats.org/officeDocument/2006/relationships/hyperlink" Target="https://www.fisp.org/members/national-societies" TargetMode="External" /><pr:Relationship Id="rIdURL82" Type="http://schemas.openxmlformats.org/officeDocument/2006/relationships/hyperlink" Target="https://sfu.org.uy/estatutos/" TargetMode="External" /><pr:Relationship Id="rIdURL83" Type="http://schemas.openxmlformats.org/officeDocument/2006/relationships/hyperlink" Target="https://bisu.edu.ph/2025/06/17/philosophizing-the-filipino-soul-usapp-summit-champions-identity-ethics-and-cultural-reflection/" TargetMode="External" /><pr:Relationship Id="rIdURL84" Type="http://schemas.openxmlformats.org/officeDocument/2006/relationships/hyperlink" Target="https://www.filosofinenyhdistys.fi/yhdistys/saannot/" TargetMode="External" /><pr:Relationship Id="rIdURL85" Type="http://schemas.openxmlformats.org/officeDocument/2006/relationships/hyperlink" Target="https://www.sofrphilo.fr/" TargetMode="External" /><pr:Relationship Id="rIdURL86" Type="http://schemas.openxmlformats.org/officeDocument/2006/relationships/hyperlink" Target="https://www.hrfd.hr/o-hfd-u/statut-hfd-a/" TargetMode="External" /><pr:Relationship Id="rIdURL87" Type="http://schemas.openxmlformats.org/officeDocument/2006/relationships/hyperlink" Target="https://www.fisp.org/members/national-societies" TargetMode="External" /><pr:Relationship Id="rIdURL88" Type="http://schemas.openxmlformats.org/officeDocument/2006/relationships/hyperlink" Target="https://stag.upol.cz/ects/fakulty/FIF/KFI/BJ20L?lang=cs" TargetMode="External" /><pr:Relationship Id="rIdURL89" Type="http://schemas.openxmlformats.org/officeDocument/2006/relationships/hyperlink" Target="https://www.achif.cl/estatutos/" TargetMode="External" /><pr:Relationship Id="rIdURL90" Type="http://schemas.openxmlformats.org/officeDocument/2006/relationships/hyperlink" Target="https://www.sagw.ch/de/spg/die-statuten" TargetMode="External" /><pr:Relationship Id="rIdURL91" Type="http://schemas.openxmlformats.org/officeDocument/2006/relationships/hyperlink" Target="https://www.umu.se/en/department-of-historical-philosophical-and-religious-studies/research/our-research-subjects/philosophy/swedish-congress-of-philosophy/" TargetMode="External" /><pr:Relationship Id="rIdURL92" Type="http://schemas.openxmlformats.org/officeDocument/2006/relationships/hyperlink" Target="https://recfil.org/manifiesto/" TargetMode="External" /><pr:Relationship Id="rIdURL93" Type="http://schemas.openxmlformats.org/officeDocument/2006/relationships/hyperlink" Target="https://www.fisp.org/members/national-societies" TargetMode="External" /><pr:Relationship Id="rIdURL94" Type="http://schemas.openxmlformats.org/officeDocument/2006/relationships/hyperlink" Target="https://hanchul.org/" TargetMode="External" /><pr:Relationship Id="rIdURL95" Type="http://schemas.openxmlformats.org/officeDocument/2006/relationships/hyperlink" Target="https://philosophy-japan.org/category/summary/" TargetMode="External" /></pr:Relationships>
</file>

<file path=xl/worksheets/_rels/sheet5.xml.rels><?xml version='1.0' encoding='utf-8'?>
<pr:Relationships xmlns:pr="http://schemas.openxmlformats.org/package/2006/relationships"><pr:Relationship Type="http://schemas.openxmlformats.org/officeDocument/2006/relationships/table" Target="/xl/tables/table4.xml" Id="R4fce9726a77147a9" /><pr:Relationship Id="rIdURL1" Type="http://schemas.openxmlformats.org/officeDocument/2006/relationships/hyperlink" Target="https://aap.org.au/about/Board" TargetMode="External" /><pr:Relationship Id="rIdURL2" Type="http://schemas.openxmlformats.org/officeDocument/2006/relationships/hyperlink" Target="https://aap.org.au/" TargetMode="External" /><pr:Relationship Id="rIdURL3" Type="http://schemas.openxmlformats.org/officeDocument/2006/relationships/hyperlink" Target="https://aap.org.au/about/Board" TargetMode="External" /><pr:Relationship Id="rIdURL4" Type="http://schemas.openxmlformats.org/officeDocument/2006/relationships/hyperlink" Target="https://aap.org.au/AJP" TargetMode="External" /><pr:Relationship Id="rIdURL5" Type="http://schemas.openxmlformats.org/officeDocument/2006/relationships/hyperlink" Target="https://aap.org.au/APR" TargetMode="External" /><pr:Relationship Id="rIdURL6" Type="http://schemas.openxmlformats.org/officeDocument/2006/relationships/hyperlink" Target="https://bsky.app/profile/aaphilosophy.bsky.social" TargetMode="External" /><pr:Relationship Id="rIdURL7" Type="http://schemas.openxmlformats.org/officeDocument/2006/relationships/hyperlink" Target="https://twitter.com/AAPhilosophy" TargetMode="External" /><pr:Relationship Id="rIdURL8" Type="http://schemas.openxmlformats.org/officeDocument/2006/relationships/hyperlink" Target="https://x.com/AAPhilosophy" TargetMode="External" /><pr:Relationship Id="rIdURL9" Type="http://schemas.openxmlformats.org/officeDocument/2006/relationships/hyperlink" Target="https://www.facebook.com/AustralasianAssociationofPhilosophy" TargetMode="External" /><pr:Relationship Id="rIdURL10" Type="http://schemas.openxmlformats.org/officeDocument/2006/relationships/hyperlink" Target="https://www.fisp.org/members/national-societies" TargetMode="External" /><pr:Relationship Id="rIdURL11" Type="http://schemas.openxmlformats.org/officeDocument/2006/relationships/hyperlink" Target="https://www.youtube.com/@australasianassociationofp7413/featured" TargetMode="External" /><pr:Relationship Id="rIdURL12" Type="http://schemas.openxmlformats.org/officeDocument/2006/relationships/hyperlink" Target="https://www.youtube.com/@australasianassociationofp7413/featured?cbrd=1&amp;ucbcb=1" TargetMode="External" /><pr:Relationship Id="rIdURL13" Type="http://schemas.openxmlformats.org/officeDocument/2006/relationships/hyperlink" Target="https://oegp.org/" TargetMode="External" /><pr:Relationship Id="rIdURL14" Type="http://schemas.openxmlformats.org/officeDocument/2006/relationships/hyperlink" Target="https://oegp.org/" TargetMode="External" /><pr:Relationship Id="rIdURL15" Type="http://schemas.openxmlformats.org/officeDocument/2006/relationships/hyperlink" Target="https://oegp.org/praesidium/" TargetMode="External" /><pr:Relationship Id="rIdURL16" Type="http://schemas.openxmlformats.org/officeDocument/2006/relationships/hyperlink" Target="https://www.fisp.org/members/national-societies" TargetMode="External" /><pr:Relationship Id="rIdURL17" Type="http://schemas.openxmlformats.org/officeDocument/2006/relationships/hyperlink" Target="https://afra.org.ar/" TargetMode="External" /><pr:Relationship Id="rIdURL18" Type="http://schemas.openxmlformats.org/officeDocument/2006/relationships/hyperlink" Target="https://afra.org.ar/" TargetMode="External" /><pr:Relationship Id="rIdURL19" Type="http://schemas.openxmlformats.org/officeDocument/2006/relationships/hyperlink" Target="https://afra.org.ar/?p=1128" TargetMode="External" /><pr:Relationship Id="rIdURL20" Type="http://schemas.openxmlformats.org/officeDocument/2006/relationships/hyperlink" Target="https://afra.org.ar/?page_id=89" TargetMode="External" /><pr:Relationship Id="rIdURL21" Type="http://schemas.openxmlformats.org/officeDocument/2006/relationships/hyperlink" Target="https://www.facebook.com/afra.filosofia" TargetMode="External" /><pr:Relationship Id="rIdURL22" Type="http://schemas.openxmlformats.org/officeDocument/2006/relationships/hyperlink" Target="https://www.fisp.org/members/national-societies" TargetMode="External" /><pr:Relationship Id="rIdURL23" Type="http://schemas.openxmlformats.org/officeDocument/2006/relationships/hyperlink" Target="https://soarfil.wordpress.com/" TargetMode="External" /><pr:Relationship Id="rIdURL24" Type="http://schemas.openxmlformats.org/officeDocument/2006/relationships/hyperlink" Target="https://www.fisp.org/members/national-societies" TargetMode="External" /><pr:Relationship Id="rIdURL25" Type="http://schemas.openxmlformats.org/officeDocument/2006/relationships/hyperlink" Target="https://www.fisp.org/members/national-societies" TargetMode="External" /><pr:Relationship Id="rIdURL26" Type="http://schemas.openxmlformats.org/officeDocument/2006/relationships/hyperlink" Target="https://apha.am/" TargetMode="External" /><pr:Relationship Id="rIdURL27" Type="http://schemas.openxmlformats.org/officeDocument/2006/relationships/hyperlink" Target="https://www.fisp.org/members/national-societies" TargetMode="External" /><pr:Relationship Id="rIdURL28" Type="http://schemas.openxmlformats.org/officeDocument/2006/relationships/hyperlink" Target="https://www.bssnews.net/news-flash/410663" TargetMode="External" /><pr:Relationship Id="rIdURL29" Type="http://schemas.openxmlformats.org/officeDocument/2006/relationships/hyperlink" Target="https://philosophy.by/en/community/society/" TargetMode="External" /><pr:Relationship Id="rIdURL30" Type="http://schemas.openxmlformats.org/officeDocument/2006/relationships/hyperlink" Target="https://philosophy.by/en/community/society/" TargetMode="External" /><pr:Relationship Id="rIdURL31" Type="http://schemas.openxmlformats.org/officeDocument/2006/relationships/hyperlink" Target="https://asplf.org/liste-des-societes/" TargetMode="External" /><pr:Relationship Id="rIdURL32" Type="http://schemas.openxmlformats.org/officeDocument/2006/relationships/hyperlink" Target="https://asplf.org/liste-des-societes/" TargetMode="External" /><pr:Relationship Id="rIdURL33" Type="http://schemas.openxmlformats.org/officeDocument/2006/relationships/hyperlink" Target="https://www.sobelphi.be/" TargetMode="External" /><pr:Relationship Id="rIdURL34" Type="http://schemas.openxmlformats.org/officeDocument/2006/relationships/hyperlink" Target="https://asplf.org/liste-des-societes/" TargetMode="External" /><pr:Relationship Id="rIdURL35" Type="http://schemas.openxmlformats.org/officeDocument/2006/relationships/hyperlink" Target="https://asplf.org/liste-des-societes/" TargetMode="External" /><pr:Relationship Id="rIdURL36" Type="http://schemas.openxmlformats.org/officeDocument/2006/relationships/hyperlink" Target="https://www.bec.uac.bj/uploads/publication/ea52179f022d46342eb43f3a15d39e9e.pdf" TargetMode="External" /><pr:Relationship Id="rIdURL37" Type="http://schemas.openxmlformats.org/officeDocument/2006/relationships/hyperlink" Target="https://bulgarianphilosophicalsociety.wordpress.com/" TargetMode="External" /><pr:Relationship Id="rIdURL38" Type="http://schemas.openxmlformats.org/officeDocument/2006/relationships/hyperlink" Target="https://www.fisp.org/members/national-societies" TargetMode="External" /><pr:Relationship Id="rIdURL39" Type="http://schemas.openxmlformats.org/officeDocument/2006/relationships/hyperlink" Target="https://www.fisp.org/members/national-societies" TargetMode="External" /><pr:Relationship Id="rIdURL40" Type="http://schemas.openxmlformats.org/officeDocument/2006/relationships/hyperlink" Target="https://theoria.fdt.ba/index.php/journal/about" TargetMode="External" /><pr:Relationship Id="rIdURL41" Type="http://schemas.openxmlformats.org/officeDocument/2006/relationships/hyperlink" Target="https://www.fdt.ba/" TargetMode="External" /><pr:Relationship Id="rIdURL42" Type="http://schemas.openxmlformats.org/officeDocument/2006/relationships/hyperlink" Target="https://www.fdt.ba/o-nama/" TargetMode="External" /><pr:Relationship Id="rIdURL43" Type="http://schemas.openxmlformats.org/officeDocument/2006/relationships/hyperlink" Target="https://www.anpof.org/" TargetMode="External" /><pr:Relationship Id="rIdURL44" Type="http://schemas.openxmlformats.org/officeDocument/2006/relationships/hyperlink" Target="https://www.academia-de-filosofia.org.br/" TargetMode="External" /><pr:Relationship Id="rIdURL45" Type="http://schemas.openxmlformats.org/officeDocument/2006/relationships/hyperlink" Target="https://www.academia-de-filosofia.org.br/academia" TargetMode="External" /><pr:Relationship Id="rIdURL46" Type="http://schemas.openxmlformats.org/officeDocument/2006/relationships/hyperlink" Target="https://www.fisp.org/members/national-societies" TargetMode="External" /><pr:Relationship Id="rIdURL47" Type="http://schemas.openxmlformats.org/officeDocument/2006/relationships/hyperlink" Target="https://www.anpof.org/" TargetMode="External" /><pr:Relationship Id="rIdURL48" Type="http://schemas.openxmlformats.org/officeDocument/2006/relationships/hyperlink" Target="https://www.anpof.org/anpof/diretoria" TargetMode="External" /><pr:Relationship Id="rIdURL49" Type="http://schemas.openxmlformats.org/officeDocument/2006/relationships/hyperlink" Target="https://www.fisp.org/members/national-societies" TargetMode="External" /><pr:Relationship Id="rIdURL50" Type="http://schemas.openxmlformats.org/officeDocument/2006/relationships/hyperlink" Target="https://bpa.ac.uk/join/" TargetMode="External" /><pr:Relationship Id="rIdURL51" Type="http://schemas.openxmlformats.org/officeDocument/2006/relationships/hyperlink" Target="https://bpa.ac.uk/" TargetMode="External" /><pr:Relationship Id="rIdURL52" Type="http://schemas.openxmlformats.org/officeDocument/2006/relationships/hyperlink" Target="https://bpa.ac.uk/join/" TargetMode="External" /><pr:Relationship Id="rIdURL53" Type="http://schemas.openxmlformats.org/officeDocument/2006/relationships/hyperlink" Target="https://bpa.ac.uk/prizes2026/" TargetMode="External" /><pr:Relationship Id="rIdURL54" Type="http://schemas.openxmlformats.org/officeDocument/2006/relationships/hyperlink" Target="https://twitter.com/BritishPhiloso1" TargetMode="External" /><pr:Relationship Id="rIdURL55" Type="http://schemas.openxmlformats.org/officeDocument/2006/relationships/hyperlink" Target="https://x.com/BritishPhiloso1" TargetMode="External" /><pr:Relationship Id="rIdURL56" Type="http://schemas.openxmlformats.org/officeDocument/2006/relationships/hyperlink" Target="https://www.fisp.org/members/national-societies" TargetMode="External" /><pr:Relationship Id="rIdURL57" Type="http://schemas.openxmlformats.org/officeDocument/2006/relationships/hyperlink" Target="https://bsky.app/profile/aristotsoc.bsky.social" TargetMode="External" /><pr:Relationship Id="rIdURL58" Type="http://schemas.openxmlformats.org/officeDocument/2006/relationships/hyperlink" Target="https://twitter.com/Aristotweets" TargetMode="External" /><pr:Relationship Id="rIdURL59" Type="http://schemas.openxmlformats.org/officeDocument/2006/relationships/hyperlink" Target="https://x.com/Aristotweets" TargetMode="External" /><pr:Relationship Id="rIdURL60" Type="http://schemas.openxmlformats.org/officeDocument/2006/relationships/hyperlink" Target="https://www.aristoteliansociety.org.uk/" TargetMode="External" /><pr:Relationship Id="rIdURL61" Type="http://schemas.openxmlformats.org/officeDocument/2006/relationships/hyperlink" Target="https://www.aristoteliansociety.org.uk/about/" TargetMode="External" /><pr:Relationship Id="rIdURL62" Type="http://schemas.openxmlformats.org/officeDocument/2006/relationships/hyperlink" Target="https://www.aristoteliansociety.org.uk/about/the-council/" TargetMode="External" /><pr:Relationship Id="rIdURL63" Type="http://schemas.openxmlformats.org/officeDocument/2006/relationships/hyperlink" Target="https://www.aristoteliansociety.org.uk/about/the-executive-committee/" TargetMode="External" /><pr:Relationship Id="rIdURL64" Type="http://schemas.openxmlformats.org/officeDocument/2006/relationships/hyperlink" Target="https://www.aristoteliansociety.org.uk/the-joint-session/" TargetMode="External" /><pr:Relationship Id="rIdURL65" Type="http://schemas.openxmlformats.org/officeDocument/2006/relationships/hyperlink" Target="https://www.aristoteliansociety.org.uk/the-proceedings/the-2026-27-programme/" TargetMode="External" /><pr:Relationship Id="rIdURL66" Type="http://schemas.openxmlformats.org/officeDocument/2006/relationships/hyperlink" Target="https://www.aristoteliansociety.org.uk/the-proceedings/the-journal/" TargetMode="External" /><pr:Relationship Id="rIdURL67" Type="http://schemas.openxmlformats.org/officeDocument/2006/relationships/hyperlink" Target="https://www.facebook.com/aristotelian.society/" TargetMode="External" /><pr:Relationship Id="rIdURL68" Type="http://schemas.openxmlformats.org/officeDocument/2006/relationships/hyperlink" Target="https://www.fisp.org/members/national-societies" TargetMode="External" /><pr:Relationship Id="rIdURL69" Type="http://schemas.openxmlformats.org/officeDocument/2006/relationships/hyperlink" Target="https://magyarfilozofiaitarsasag.wordpress.com/" TargetMode="External" /><pr:Relationship Id="rIdURL70" Type="http://schemas.openxmlformats.org/officeDocument/2006/relationships/hyperlink" Target="https://magyarfilozofiaitarsasag.wordpress.com/alapszabaly/" TargetMode="External" /><pr:Relationship Id="rIdURL71" Type="http://schemas.openxmlformats.org/officeDocument/2006/relationships/hyperlink" Target="https://magyarfilozofiaitarsasag.wordpress.com/elnokseg/" TargetMode="External" /><pr:Relationship Id="rIdURL72" Type="http://schemas.openxmlformats.org/officeDocument/2006/relationships/hyperlink" Target="https://www.facebook.com/profile.php?id=100028121366860" TargetMode="External" /><pr:Relationship Id="rIdURL73" Type="http://schemas.openxmlformats.org/officeDocument/2006/relationships/hyperlink" Target="https://www.facebook.com/people/Magyar-Filoz%C3%B3fiai-T%C3%A1rsas%C3%A1g/100028121366860/" TargetMode="External" /><pr:Relationship Id="rIdURL74" Type="http://schemas.openxmlformats.org/officeDocument/2006/relationships/hyperlink" Target="https://www.fisp.org/members/national-societies" TargetMode="External" /><pr:Relationship Id="rIdURL75" Type="http://schemas.openxmlformats.org/officeDocument/2006/relationships/hyperlink" Target="https://www.fisp.org/members/national-societies" TargetMode="External" /><pr:Relationship Id="rIdURL76" Type="http://schemas.openxmlformats.org/officeDocument/2006/relationships/hyperlink" Target="https://www.fisp.org/members/national-societies" TargetMode="External" /><pr:Relationship Id="rIdURL77" Type="http://schemas.openxmlformats.org/officeDocument/2006/relationships/hyperlink" Target="https://hoitriethoc.com/" TargetMode="External" /><pr:Relationship Id="rIdURL78" Type="http://schemas.openxmlformats.org/officeDocument/2006/relationships/hyperlink" Target="https://hoitriethoc.com/" TargetMode="External" /><pr:Relationship Id="rIdURL79" Type="http://schemas.openxmlformats.org/officeDocument/2006/relationships/hyperlink" Target="https://hoitriethoc.com/thong-bao-ket-qua-dai-hoi-nhiem-ky-ii-2026-2031-cua-hoi-triet-hoc-viet-nam/" TargetMode="External" /><pr:Relationship Id="rIdURL80" Type="http://schemas.openxmlformats.org/officeDocument/2006/relationships/hyperlink" Target="https://www.fisp.org/members/national-societies" TargetMode="External" /><pr:Relationship Id="rIdURL81" Type="http://schemas.openxmlformats.org/officeDocument/2006/relationships/hyperlink" Target="https://www.fisp.org/members/national-societies" TargetMode="External" /><pr:Relationship Id="rIdURL82" Type="http://schemas.openxmlformats.org/officeDocument/2006/relationships/hyperlink" Target="https://agfil.org/" TargetMode="External" /><pr:Relationship Id="rIdURL83" Type="http://schemas.openxmlformats.org/officeDocument/2006/relationships/hyperlink" Target="https://azurrevista.com/" TargetMode="External" /><pr:Relationship Id="rIdURL84" Type="http://schemas.openxmlformats.org/officeDocument/2006/relationships/hyperlink" Target="https://www.fisp.org/members/national-societies" TargetMode="External" /><pr:Relationship Id="rIdURL85" Type="http://schemas.openxmlformats.org/officeDocument/2006/relationships/hyperlink" Target="https://www.dgphil.de/ergebnisse-der-vorstandswahl/ueber-uns/" TargetMode="External" /><pr:Relationship Id="rIdURL86" Type="http://schemas.openxmlformats.org/officeDocument/2006/relationships/hyperlink" Target="https://twitter.com/dgphil_ev" TargetMode="External" /><pr:Relationship Id="rIdURL87" Type="http://schemas.openxmlformats.org/officeDocument/2006/relationships/hyperlink" Target="https://x.com/dgphil_ev" TargetMode="External" /><pr:Relationship Id="rIdURL88" Type="http://schemas.openxmlformats.org/officeDocument/2006/relationships/hyperlink" Target="https://www.dgphil.de/" TargetMode="External" /><pr:Relationship Id="rIdURL89" Type="http://schemas.openxmlformats.org/officeDocument/2006/relationships/hyperlink" Target="https://www.dgphil.de/impressum/" TargetMode="External" /><pr:Relationship Id="rIdURL90" Type="http://schemas.openxmlformats.org/officeDocument/2006/relationships/hyperlink" Target="https://www.facebook.com/dgphil.offiziell/" TargetMode="External" /><pr:Relationship Id="rIdURL91" Type="http://schemas.openxmlformats.org/officeDocument/2006/relationships/hyperlink" Target="https://www.fisp.org/members/national-societies" TargetMode="External" /><pr:Relationship Id="rIdURL92" Type="http://schemas.openxmlformats.org/officeDocument/2006/relationships/hyperlink" Target="https://rediberoamericanafilosofia.com/acafi/" TargetMode="External" /><pr:Relationship Id="rIdURL93" Type="http://schemas.openxmlformats.org/officeDocument/2006/relationships/hyperlink" Target="https://azurrevista.com/wp-content/uploads/2026/08/1_Acta-del-XIV-Congreso-Centroamericano-de-Filosofia.html" TargetMode="External" /><pr:Relationship Id="rIdURL94" Type="http://schemas.openxmlformats.org/officeDocument/2006/relationships/hyperlink" Target="https://philosophia.org.gr/" TargetMode="External" /><pr:Relationship Id="rIdURL95" Type="http://schemas.openxmlformats.org/officeDocument/2006/relationships/hyperlink" Target="https://philosophia.org.gr/" TargetMode="External" /><pr:Relationship Id="rIdURL96" Type="http://schemas.openxmlformats.org/officeDocument/2006/relationships/hyperlink" Target="https://philosophia.org.gr/dioikisi-efe/dioikitiko-symvoylio" TargetMode="External" /><pr:Relationship Id="rIdURL97" Type="http://schemas.openxmlformats.org/officeDocument/2006/relationships/hyperlink" Target="https://philosophia.org.gr/elliniki-filosofiki-epitheorisi" TargetMode="External" /><pr:Relationship Id="rIdURL98" Type="http://schemas.openxmlformats.org/officeDocument/2006/relationships/hyperlink" Target="https://philosophia.org.gr/elliniki-filosofiki-epitheorisi/teyxi" TargetMode="External" /><pr:Relationship Id="rIdURL99" Type="http://schemas.openxmlformats.org/officeDocument/2006/relationships/hyperlink" Target="https://www.fisp.org/members/national-societies" TargetMode="External" /><pr:Relationship Id="rIdURL100" Type="http://schemas.openxmlformats.org/officeDocument/2006/relationships/hyperlink" Target="https://www.filosofiskselskab.dk/vedtgter" TargetMode="External" /><pr:Relationship Id="rIdURL101" Type="http://schemas.openxmlformats.org/officeDocument/2006/relationships/hyperlink" Target="https://www.filosofiskselskab.dk/" TargetMode="External" /><pr:Relationship Id="rIdURL102" Type="http://schemas.openxmlformats.org/officeDocument/2006/relationships/hyperlink" Target="https://www.filosofiskselskab.dk/aarbog" TargetMode="External" /><pr:Relationship Id="rIdURL103" Type="http://schemas.openxmlformats.org/officeDocument/2006/relationships/hyperlink" Target="https://www.filosofiskselskab.dk/rbog" TargetMode="External" /><pr:Relationship Id="rIdURL104" Type="http://schemas.openxmlformats.org/officeDocument/2006/relationships/hyperlink" Target="https://www.filosofiskselskab.dk/anmeldelser" TargetMode="External" /><pr:Relationship Id="rIdURL105" Type="http://schemas.openxmlformats.org/officeDocument/2006/relationships/hyperlink" Target="https://www.filosofiskselskab.dk/anmeldelser-1" TargetMode="External" /><pr:Relationship Id="rIdURL106" Type="http://schemas.openxmlformats.org/officeDocument/2006/relationships/hyperlink" Target="https://www.filosofiskselskab.dk/bestyrelse" TargetMode="External" /><pr:Relationship Id="rIdURL107" Type="http://schemas.openxmlformats.org/officeDocument/2006/relationships/hyperlink" Target="https://www.filosofiskselskab.dk/vedtgter" TargetMode="External" /><pr:Relationship Id="rIdURL108" Type="http://schemas.openxmlformats.org/officeDocument/2006/relationships/hyperlink" Target="https://www.fisp.org/members/national-societies" TargetMode="External" /><pr:Relationship Id="rIdURL109" Type="http://schemas.openxmlformats.org/officeDocument/2006/relationships/hyperlink" Target="https://rediberoamericanafilosofia.com/acafi/" TargetMode="External" /><pr:Relationship Id="rIdURL110" Type="http://schemas.openxmlformats.org/officeDocument/2006/relationships/hyperlink" Target="https://azurrevista.com/" TargetMode="External" /><pr:Relationship Id="rIdURL111" Type="http://schemas.openxmlformats.org/officeDocument/2006/relationships/hyperlink" Target="https://rediberoamericanafilosofia.com/acafi/" TargetMode="External" /><pr:Relationship Id="rIdURL112" Type="http://schemas.openxmlformats.org/officeDocument/2006/relationships/hyperlink" Target="https://acp.cd/nation/publication-dun-nouveau-numero-de-la-revue-dynamique-critique-par-lecole-philosophique-de-kisangani/" TargetMode="External" /><pr:Relationship Id="rIdURL113" Type="http://schemas.openxmlformats.org/officeDocument/2006/relationships/hyperlink" Target="https://acp.cd/nation/publication-dun-nouveau-numero-de-la-revue-dynamique-critique-par-lecole-philosophique-de-kisangani/" TargetMode="External" /><pr:Relationship Id="rIdURL114" Type="http://schemas.openxmlformats.org/officeDocument/2006/relationships/hyperlink" Target="https://mafa.journals.ekb.eg/" TargetMode="External" /><pr:Relationship Id="rIdURL115" Type="http://schemas.openxmlformats.org/officeDocument/2006/relationships/hyperlink" Target="https://www.alakhbarmedia.net/node/30034" TargetMode="External" /><pr:Relationship Id="rIdURL116" Type="http://schemas.openxmlformats.org/officeDocument/2006/relationships/hyperlink" Target="https://www.dar-alifta.org/ar/articles/details/9775" TargetMode="External" /><pr:Relationship Id="rIdURL117" Type="http://schemas.openxmlformats.org/officeDocument/2006/relationships/hyperlink" Target="https://www.dar-alifta.org/ar/articles/details/9775/%d8%ae%d9%84%d8%a7%d9%84-%d9%85%d9%88%d8%aa%d9%85%d8%b1-%d8%a7%d9%84%d8%ac%d9%85%d8%b9%d9%8a%d8%a9-%d8%a7%d9%84%d9%81%d9%84%d8%b3%d9%81%d9%8a%d8%a9-%d8%a7%d9%84%d9%85%d8%b5%d8%b1%d9%8a%d8%a9-%d8%a7%d9%84%d8%af%d9%83%d8%aa%d9%88%d8%b1-%d9%85%d8%b5%d8%b7%d9%81%d9%89-%d8%a7%d9%84%d9%86%d8%b4%d8%a7%d8%b1-%d9%8a%d8%af%d8%b9%d9%88-%d8%a7%d9%84%d9%89-%d8%a7%d9%86%d8%b4%d8%a7%d8%a1-%d8%b1%d8%a7%d8%a8%d8%b7%d8%a9-%d9%81" TargetMode="External" /><pr:Relationship Id="rIdURL118" Type="http://schemas.openxmlformats.org/officeDocument/2006/relationships/hyperlink" Target="https://www.vernonpress.com/index.php/author/12428" TargetMode="External" /><pr:Relationship Id="rIdURL119" Type="http://schemas.openxmlformats.org/officeDocument/2006/relationships/hyperlink" Target="https://www.fisp.org/members/national-societies" TargetMode="External" /><pr:Relationship Id="rIdURL120" Type="http://schemas.openxmlformats.org/officeDocument/2006/relationships/hyperlink" Target="https://www.fisp.org/members/national-societies" TargetMode="External" /><pr:Relationship Id="rIdURL121" Type="http://schemas.openxmlformats.org/officeDocument/2006/relationships/hyperlink" Target="https://www.fisp.org/members/national-societies" TargetMode="External" /><pr:Relationship Id="rIdURL122" Type="http://schemas.openxmlformats.org/officeDocument/2006/relationships/hyperlink" Target="https://indianphilosophicalcongress.in/" TargetMode="External" /><pr:Relationship Id="rIdURL123" Type="http://schemas.openxmlformats.org/officeDocument/2006/relationships/hyperlink" Target="https://www.fisp.org/members/national-societies" TargetMode="External" /><pr:Relationship Id="rIdURL124" Type="http://schemas.openxmlformats.org/officeDocument/2006/relationships/hyperlink" Target="https://www.abdpindia.net/" TargetMode="External" /><pr:Relationship Id="rIdURL125" Type="http://schemas.openxmlformats.org/officeDocument/2006/relationships/hyperlink" Target="https://www.fisp.org/members/national-societies" TargetMode="External" /><pr:Relationship Id="rIdURL126" Type="http://schemas.openxmlformats.org/officeDocument/2006/relationships/hyperlink" Target="https://culture.gov.jo/ebv4.0/root_storage/ar/eb_list_page/afkar_386.pdf" TargetMode="External" /><pr:Relationship Id="rIdURL127" Type="http://schemas.openxmlformats.org/officeDocument/2006/relationships/hyperlink" Target="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" TargetMode="External" /><pr:Relationship Id="rIdURL128" Type="http://schemas.openxmlformats.org/officeDocument/2006/relationships/hyperlink" Target="https://www.ammonnews.net/article/1030112" TargetMode="External" /><pr:Relationship Id="rIdURL129" Type="http://schemas.openxmlformats.org/officeDocument/2006/relationships/hyperlink" Target="https://www.fisp.org/members/national-societies" TargetMode="External" /><pr:Relationship Id="rIdURL130" Type="http://schemas.openxmlformats.org/officeDocument/2006/relationships/hyperlink" Target="https://ipso.ir/" TargetMode="External" /><pr:Relationship Id="rIdURL131" Type="http://schemas.openxmlformats.org/officeDocument/2006/relationships/hyperlink" Target="https://ipso.ir/%D8%AF%D8%B1%D8%A8%D8%A7%D8%B1%DB%80-%D8%A7%D9%86%D8%AC%D9%85%D9%86/" TargetMode="External" /><pr:Relationship Id="rIdURL132" Type="http://schemas.openxmlformats.org/officeDocument/2006/relationships/hyperlink" Target="https://phm.znu.ac.ir/journal/about" TargetMode="External" /><pr:Relationship Id="rIdURL133" Type="http://schemas.openxmlformats.org/officeDocument/2006/relationships/hyperlink" Target="https://t.me/ipsoir" TargetMode="External" /><pr:Relationship Id="rIdURL134" Type="http://schemas.openxmlformats.org/officeDocument/2006/relationships/hyperlink" Target="https://www.fisp.org/members/national-societies" TargetMode="External" /><pr:Relationship Id="rIdURL135" Type="http://schemas.openxmlformats.org/officeDocument/2006/relationships/hyperlink" Target="https://www.irish-philosophical-society.ie/" TargetMode="External" /><pr:Relationship Id="rIdURL136" Type="http://schemas.openxmlformats.org/officeDocument/2006/relationships/hyperlink" Target="https://www.facebook.com/irishphilosophicalsociety" TargetMode="External" /><pr:Relationship Id="rIdURL137" Type="http://schemas.openxmlformats.org/officeDocument/2006/relationships/hyperlink" Target="https://www.fisp.org/members/national-societies" TargetMode="External" /><pr:Relationship Id="rIdURL138" Type="http://schemas.openxmlformats.org/officeDocument/2006/relationships/hyperlink" Target="https://www.irish-philosophical-society.ie/" TargetMode="External" /><pr:Relationship Id="rIdURL139" Type="http://schemas.openxmlformats.org/officeDocument/2006/relationships/hyperlink" Target="https://www.irish-philosophical-society.ie/who/" TargetMode="External" /><pr:Relationship Id="rIdURL140" Type="http://schemas.openxmlformats.org/officeDocument/2006/relationships/hyperlink" Target="https://www.irish-philosophical-society.ie/yearbook/" TargetMode="External" /><pr:Relationship Id="rIdURL141" Type="http://schemas.openxmlformats.org/officeDocument/2006/relationships/hyperlink" Target="https://www.linkedin.com/company/irish-philosophical-society" TargetMode="External" /><pr:Relationship Id="rIdURL142" Type="http://schemas.openxmlformats.org/officeDocument/2006/relationships/hyperlink" Target="https://x.com/irish_philos" TargetMode="External" /><pr:Relationship Id="rIdURL143" Type="http://schemas.openxmlformats.org/officeDocument/2006/relationships/hyperlink" Target="https://heimspeki.hi.is/fah-hugur/" TargetMode="External" /><pr:Relationship Id="rIdURL144" Type="http://schemas.openxmlformats.org/officeDocument/2006/relationships/hyperlink" Target="http://www.facebook.com/pages/Felag-ahugamanna-um-heimspeki/152004208166986" TargetMode="External" /><pr:Relationship Id="rIdURL145" Type="http://schemas.openxmlformats.org/officeDocument/2006/relationships/hyperlink" Target="https://www.facebook.com/FAHisland/" TargetMode="External" /><pr:Relationship Id="rIdURL146" Type="http://schemas.openxmlformats.org/officeDocument/2006/relationships/hyperlink" Target="https://heimspeki.hi.is/fah-hugur/" TargetMode="External" /><pr:Relationship Id="rIdURL147" Type="http://schemas.openxmlformats.org/officeDocument/2006/relationships/hyperlink" Target="https://www.fisp.org/members/national-societies" TargetMode="External" /><pr:Relationship Id="rIdURL148" Type="http://schemas.openxmlformats.org/officeDocument/2006/relationships/hyperlink" Target="https://www.fisp.org/members/national-societies" TargetMode="External" /><pr:Relationship Id="rIdURL149" Type="http://schemas.openxmlformats.org/officeDocument/2006/relationships/hyperlink" Target="https://redfilosofia.es/" TargetMode="External" /><pr:Relationship Id="rIdURL150" Type="http://schemas.openxmlformats.org/officeDocument/2006/relationships/hyperlink" Target="https://www.fisp.org/members/national-societies" TargetMode="External" /><pr:Relationship Id="rIdURL151" Type="http://schemas.openxmlformats.org/officeDocument/2006/relationships/hyperlink" Target="https://safil.es/" TargetMode="External" /><pr:Relationship Id="rIdURL152" Type="http://schemas.openxmlformats.org/officeDocument/2006/relationships/hyperlink" Target="https://safil.es/standard-page-image" TargetMode="External" /><pr:Relationship Id="rIdURL153" Type="http://schemas.openxmlformats.org/officeDocument/2006/relationships/hyperlink" Target="https://twitter.com/FilosofiaSAF" TargetMode="External" /><pr:Relationship Id="rIdURL154" Type="http://schemas.openxmlformats.org/officeDocument/2006/relationships/hyperlink" Target="https://x.com/FilosofiaSAF" TargetMode="External" /><pr:Relationship Id="rIdURL155" Type="http://schemas.openxmlformats.org/officeDocument/2006/relationships/hyperlink" Target="https://www.facebook.com/FilosofiaSAF" TargetMode="External" /><pr:Relationship Id="rIdURL156" Type="http://schemas.openxmlformats.org/officeDocument/2006/relationships/hyperlink" Target="https://www.fisp.org/members/national-societies" TargetMode="External" /><pr:Relationship Id="rIdURL157" Type="http://schemas.openxmlformats.org/officeDocument/2006/relationships/hyperlink" Target="https://www.fisp.org/members/national-societies" TargetMode="External" /><pr:Relationship Id="rIdURL158" Type="http://schemas.openxmlformats.org/officeDocument/2006/relationships/hyperlink" Target="https://www.sfi.it/246/sfi.html" TargetMode="External" /><pr:Relationship Id="rIdURL159" Type="http://schemas.openxmlformats.org/officeDocument/2006/relationships/hyperlink" Target="https://www.consultanazionalefilosofia.it/" TargetMode="External" /><pr:Relationship Id="rIdURL160" Type="http://schemas.openxmlformats.org/officeDocument/2006/relationships/hyperlink" Target="https://www.fisp.org/members/national-societies" TargetMode="External" /><pr:Relationship Id="rIdURL161" Type="http://schemas.openxmlformats.org/officeDocument/2006/relationships/hyperlink" Target="https://www.fisp.org/members/national-societies" TargetMode="External" /><pr:Relationship Id="rIdURL162" Type="http://schemas.openxmlformats.org/officeDocument/2006/relationships/hyperlink" Target="https://www.sfi.it/" TargetMode="External" /><pr:Relationship Id="rIdURL163" Type="http://schemas.openxmlformats.org/officeDocument/2006/relationships/hyperlink" Target="https://www.sfi.it/246/sfi.html" TargetMode="External" /><pr:Relationship Id="rIdURL164" Type="http://schemas.openxmlformats.org/officeDocument/2006/relationships/hyperlink" Target="https://www.sfi.it/258/bollettino.html" TargetMode="External" /><pr:Relationship Id="rIdURL165" Type="http://schemas.openxmlformats.org/officeDocument/2006/relationships/hyperlink" Target="https://www.sfi.it/259/comunicazione-filosofica.html" TargetMode="External" /><pr:Relationship Id="rIdURL166" Type="http://schemas.openxmlformats.org/officeDocument/2006/relationships/hyperlink" Target="https://www.sfi.it/files/download/2026/Brochure%20Convegno%20SFI%20Perugia%20%281%29.pdf" TargetMode="External" /><pr:Relationship Id="rIdURL167" Type="http://schemas.openxmlformats.org/officeDocument/2006/relationships/hyperlink" Target="https://adamalemijournal.com/" TargetMode="External" /><pr:Relationship Id="rIdURL168" Type="http://schemas.openxmlformats.org/officeDocument/2006/relationships/hyperlink" Target="https://adamalemijournal.com/index.php/aa" TargetMode="External" /><pr:Relationship Id="rIdURL169" Type="http://schemas.openxmlformats.org/officeDocument/2006/relationships/hyperlink" Target="https://al-farabi.kaznu.kz/?lang=kz&amp;page_id=2698" TargetMode="External" /><pr:Relationship Id="rIdURL170" Type="http://schemas.openxmlformats.org/officeDocument/2006/relationships/hyperlink" Target="https://al-farabi.kaznu.kz/?page_id=2698&amp;lang=kz" TargetMode="External" /><pr:Relationship Id="rIdURL171" Type="http://schemas.openxmlformats.org/officeDocument/2006/relationships/hyperlink" Target="https://iph.kz/events/otchet-po-itogam-komandirovki-v-moskvu/" TargetMode="External" /><pr:Relationship Id="rIdURL172" Type="http://schemas.openxmlformats.org/officeDocument/2006/relationships/hyperlink" Target="https://iph.kz/ru/izdaniya/" TargetMode="External" /><pr:Relationship Id="rIdURL173" Type="http://schemas.openxmlformats.org/officeDocument/2006/relationships/hyperlink" Target="https://iphras.ru/page20845806.htm" TargetMode="External" /><pr:Relationship Id="rIdURL174" Type="http://schemas.openxmlformats.org/officeDocument/2006/relationships/hyperlink" Target="https://www.fisp.org/members/national-societies" TargetMode="External" /><pr:Relationship Id="rIdURL175" Type="http://schemas.openxmlformats.org/officeDocument/2006/relationships/hyperlink" Target="https://www.fisp.org/members/national-societies" TargetMode="External" /><pr:Relationship Id="rIdURL176" Type="http://schemas.openxmlformats.org/officeDocument/2006/relationships/hyperlink" Target="https://www.editions-harmattan.fr/catalogue/livre/la-reinvention-de-luniversel/81915" TargetMode="External" /><pr:Relationship Id="rIdURL177" Type="http://schemas.openxmlformats.org/officeDocument/2006/relationships/hyperlink" Target="https://www.editions-harmattan.fr/catalogue/livre/la-reinvention-de-luniversel/81915" TargetMode="External" /><pr:Relationship Id="rIdURL178" Type="http://schemas.openxmlformats.org/officeDocument/2006/relationships/hyperlink" Target="https://www.acpcpa.ca/cpages/home-page" TargetMode="External" /><pr:Relationship Id="rIdURL179" Type="http://schemas.openxmlformats.org/officeDocument/2006/relationships/hyperlink" Target="https://linkedin.com/company/the-canadian-philosophical-association-l-association-canadienne-de-philosophie" TargetMode="External" /><pr:Relationship Id="rIdURL180" Type="http://schemas.openxmlformats.org/officeDocument/2006/relationships/hyperlink" Target="https://www.acpcpa.ca/" TargetMode="External" /><pr:Relationship Id="rIdURL181" Type="http://schemas.openxmlformats.org/officeDocument/2006/relationships/hyperlink" Target="https://www.acpcpa.ca:443/cpages/home-page" TargetMode="External" /><pr:Relationship Id="rIdURL182" Type="http://schemas.openxmlformats.org/officeDocument/2006/relationships/hyperlink" Target="https://www.acpcpa.ca/cpages/dialogue-home-1" TargetMode="External" /><pr:Relationship Id="rIdURL183" Type="http://schemas.openxmlformats.org/officeDocument/2006/relationships/hyperlink" Target="https://www.acpcpa.ca/cpages/home-page" TargetMode="External" /><pr:Relationship Id="rIdURL184" Type="http://schemas.openxmlformats.org/officeDocument/2006/relationships/hyperlink" Target="https://www.acpcpa.ca/team/CPA-Executive-Committee" TargetMode="External" /><pr:Relationship Id="rIdURL185" Type="http://schemas.openxmlformats.org/officeDocument/2006/relationships/hyperlink" Target="https://www.facebook.com/acpcpa.ca/" TargetMode="External" /><pr:Relationship Id="rIdURL186" Type="http://schemas.openxmlformats.org/officeDocument/2006/relationships/hyperlink" Target="https://www.fisp.org/members/national-societies" TargetMode="External" /><pr:Relationship Id="rIdURL187" Type="http://schemas.openxmlformats.org/officeDocument/2006/relationships/hyperlink" Target="https://www.youtube.com/channel/UC1f8HrYA3GBP5lALz1myq7g" TargetMode="External" /><pr:Relationship Id="rIdURL188" Type="http://schemas.openxmlformats.org/officeDocument/2006/relationships/hyperlink" Target="https://www.google.com/sorry/index?continue=https://www.youtube.com/channel/UC1f8HrYA3GBP5lALz1myq7g&amp;q=EhAqE5UAAeQARQAAAAACLQCVGIGxjtYGIjCgp4CV4TbLoEMKHwJtHINwLzDjsGonObqdsykNy86_u1x0VraGDuD0ehmzzG-egqkyAnJSWgFD" TargetMode="External" /><pr:Relationship Id="rIdURL189" Type="http://schemas.openxmlformats.org/officeDocument/2006/relationships/hyperlink" Target="https://philosophy.uonbi.ac.ke/node/165" TargetMode="External" /><pr:Relationship Id="rIdURL190" Type="http://schemas.openxmlformats.org/officeDocument/2006/relationships/hyperlink" Target="https://philosophy.uonbi.ac.ke/node/165" TargetMode="External" /><pr:Relationship Id="rIdURL191" Type="http://schemas.openxmlformats.org/officeDocument/2006/relationships/hyperlink" Target="https://www.ajol.info/index.php/tp" TargetMode="External" /><pr:Relationship Id="rIdURL192" Type="http://schemas.openxmlformats.org/officeDocument/2006/relationships/hyperlink" Target="https://www.socolfil.org/scf/presentacion" TargetMode="External" /><pr:Relationship Id="rIdURL193" Type="http://schemas.openxmlformats.org/officeDocument/2006/relationships/hyperlink" Target="https://twitter.com/socolfil" TargetMode="External" /><pr:Relationship Id="rIdURL194" Type="http://schemas.openxmlformats.org/officeDocument/2006/relationships/hyperlink" Target="https://x.com/socolfil" TargetMode="External" /><pr:Relationship Id="rIdURL195" Type="http://schemas.openxmlformats.org/officeDocument/2006/relationships/hyperlink" Target="https://www.facebook.com/socolfil.org" TargetMode="External" /><pr:Relationship Id="rIdURL196" Type="http://schemas.openxmlformats.org/officeDocument/2006/relationships/hyperlink" Target="https://www.socolfil.org/" TargetMode="External" /><pr:Relationship Id="rIdURL197" Type="http://schemas.openxmlformats.org/officeDocument/2006/relationships/hyperlink" Target="https://www.socolfil.org/contacto/17-scf/junta-directiva-scf" TargetMode="External" /><pr:Relationship Id="rIdURL198" Type="http://schemas.openxmlformats.org/officeDocument/2006/relationships/hyperlink" Target="https://www.socolfil.org/scf/presentacion" TargetMode="External" /><pr:Relationship Id="rIdURL199" Type="http://schemas.openxmlformats.org/officeDocument/2006/relationships/hyperlink" Target="https://www.youtube.com/c/socolfilorg" TargetMode="External" /><pr:Relationship Id="rIdURL200" Type="http://schemas.openxmlformats.org/officeDocument/2006/relationships/hyperlink" Target="https://www.youtube.com/c/socolfilorg?cbrd=1&amp;ucbcb=1" TargetMode="External" /><pr:Relationship Id="rIdURL201" Type="http://schemas.openxmlformats.org/officeDocument/2006/relationships/hyperlink" Target="https://asplf.org/liste-des-societes/" TargetMode="External" /><pr:Relationship Id="rIdURL202" Type="http://schemas.openxmlformats.org/officeDocument/2006/relationships/hyperlink" Target="https://asplf.org/liste-des-societes/" TargetMode="External" /><pr:Relationship Id="rIdURL203" Type="http://schemas.openxmlformats.org/officeDocument/2006/relationships/hyperlink" Target="https://uni-pr.edu/lajme/kujtohet-kanti-ne-kohen-moderne-qe-po-i-le-pak-vend-filozofise" TargetMode="External" /><pr:Relationship Id="rIdURL204" Type="http://schemas.openxmlformats.org/officeDocument/2006/relationships/hyperlink" Target="https://www.fisp.org/members/national-societies" TargetMode="External" /><pr:Relationship Id="rIdURL205" Type="http://schemas.openxmlformats.org/officeDocument/2006/relationships/hyperlink" Target="https://rediberoamericanafilosofia.com/acafi/" TargetMode="External" /><pr:Relationship Id="rIdURL206" Type="http://schemas.openxmlformats.org/officeDocument/2006/relationships/hyperlink" Target="https://asociacioncostarricensedefilosofia.com/" TargetMode="External" /><pr:Relationship Id="rIdURL207" Type="http://schemas.openxmlformats.org/officeDocument/2006/relationships/hyperlink" Target="https://asociacioncostarricensedefilosofia.com/junta-directiva/" TargetMode="External" /><pr:Relationship Id="rIdURL208" Type="http://schemas.openxmlformats.org/officeDocument/2006/relationships/hyperlink" Target="https://azurrevista.com/" TargetMode="External" /><pr:Relationship Id="rIdURL209" Type="http://schemas.openxmlformats.org/officeDocument/2006/relationships/hyperlink" Target="https://rediberoamericanafilosofia.com/acafi/" TargetMode="External" /><pr:Relationship Id="rIdURL210" Type="http://schemas.openxmlformats.org/officeDocument/2006/relationships/hyperlink" Target="https://www.fisp.org/members/national-societies" TargetMode="External" /><pr:Relationship Id="rIdURL211" Type="http://schemas.openxmlformats.org/officeDocument/2006/relationships/hyperlink" Target="https://www.fisp.org/members/national-societies" TargetMode="External" /><pr:Relationship Id="rIdURL212" Type="http://schemas.openxmlformats.org/officeDocument/2006/relationships/hyperlink" Target="https://www.fisp.org/members/national-societies" TargetMode="External" /><pr:Relationship Id="rIdURL213" Type="http://schemas.openxmlformats.org/officeDocument/2006/relationships/hyperlink" Target="https://azurrevista.com/" TargetMode="External" /><pr:Relationship Id="rIdURL214" Type="http://schemas.openxmlformats.org/officeDocument/2006/relationships/hyperlink" Target="https://scifilosoficas.blogspot.com/" TargetMode="External" /><pr:Relationship Id="rIdURL215" Type="http://schemas.openxmlformats.org/officeDocument/2006/relationships/hyperlink" Target="https://www.fisp.org/members/national-societies" TargetMode="External" /><pr:Relationship Id="rIdURL216" Type="http://schemas.openxmlformats.org/officeDocument/2006/relationships/hyperlink" Target="https://ul.edu.lb/ar/teachers/%D8%B3%D8%B9%D8%A7%D8%AF-%D9%85%D8%AD%D9%85%D8%AF-%D8%AA%D9%88%D9%81%D9%8A%D9%82-%D8%A7%D9%84%D8%AD%D9%83%D9%8A%D9%85/2869" TargetMode="External" /><pr:Relationship Id="rIdURL217" Type="http://schemas.openxmlformats.org/officeDocument/2006/relationships/hyperlink" Target="https://liasinstitute.com/ar/najib-elhassadi/" TargetMode="External" /><pr:Relationship Id="rIdURL218" Type="http://schemas.openxmlformats.org/officeDocument/2006/relationships/hyperlink" Target="https://www.lkti.lt/naujienos/kasmetine-lietuvos-filosofu-draugijos-konferencija-2026/" TargetMode="External" /><pr:Relationship Id="rIdURL219" Type="http://schemas.openxmlformats.org/officeDocument/2006/relationships/hyperlink" Target="https://www.lkti.lt/naujienos/kasmetine-lietuvos-filosofu-draugijos-konferencija-2026/" TargetMode="External" /><pr:Relationship Id="rIdURL220" Type="http://schemas.openxmlformats.org/officeDocument/2006/relationships/hyperlink" Target="https://www.fisp.org/members/national-societies" TargetMode="External" /><pr:Relationship Id="rIdURL221" Type="http://schemas.openxmlformats.org/officeDocument/2006/relationships/hyperlink" Target="https://www.fisp.org/members/national-societies" TargetMode="External" /><pr:Relationship Id="rIdURL222" Type="http://schemas.openxmlformats.org/officeDocument/2006/relationships/hyperlink" Target="https://ppfpm.org/tentang-kami/" TargetMode="External" /><pr:Relationship Id="rIdURL223" Type="http://schemas.openxmlformats.org/officeDocument/2006/relationships/hyperlink" Target="https://ppfpm.org/" TargetMode="External" /><pr:Relationship Id="rIdURL224" Type="http://schemas.openxmlformats.org/officeDocument/2006/relationships/hyperlink" Target="https://ppfpm.org/tentang-kami/" TargetMode="External" /><pr:Relationship Id="rIdURL225" Type="http://schemas.openxmlformats.org/officeDocument/2006/relationships/hyperlink" Target="https://www.fisp.org/members/national-societies" TargetMode="External" /><pr:Relationship Id="rIdURL226" Type="http://schemas.openxmlformats.org/officeDocument/2006/relationships/hyperlink" Target="https://www.fisp.org/members/national-societies" TargetMode="External" /><pr:Relationship Id="rIdURL227" Type="http://schemas.openxmlformats.org/officeDocument/2006/relationships/hyperlink" Target="https://twitter.com/psf_maltagozo" TargetMode="External" /><pr:Relationship Id="rIdURL228" Type="http://schemas.openxmlformats.org/officeDocument/2006/relationships/hyperlink" Target="https://x.com/psf_maltagozo" TargetMode="External" /><pr:Relationship Id="rIdURL229" Type="http://schemas.openxmlformats.org/officeDocument/2006/relationships/hyperlink" Target="https://www.facebook.com/Philosophy-Sharing-Malta-1173724952658306/" TargetMode="External" /><pr:Relationship Id="rIdURL230" Type="http://schemas.openxmlformats.org/officeDocument/2006/relationships/hyperlink" Target="https://www.facebook.com/login/?next=https%3A%2F%2Fwww.facebook.com%2FPhilosophy-Sharing-Malta-1173724952658306%2F" TargetMode="External" /><pr:Relationship Id="rIdURL231" Type="http://schemas.openxmlformats.org/officeDocument/2006/relationships/hyperlink" Target="https://www.fisp.org/members/national-societies" TargetMode="External" /><pr:Relationship Id="rIdURL232" Type="http://schemas.openxmlformats.org/officeDocument/2006/relationships/hyperlink" Target="https://www.instagram.com/philosophysharingmalta/" TargetMode="External" /><pr:Relationship Id="rIdURL233" Type="http://schemas.openxmlformats.org/officeDocument/2006/relationships/hyperlink" Target="https://www.philosophysharing.org/" TargetMode="External" /><pr:Relationship Id="rIdURL234" Type="http://schemas.openxmlformats.org/officeDocument/2006/relationships/hyperlink" Target="https://www.philosophysharing.org/about-2" TargetMode="External" /><pr:Relationship Id="rIdURL235" Type="http://schemas.openxmlformats.org/officeDocument/2006/relationships/hyperlink" Target="https://www.philosophysharing.org/publications" TargetMode="External" /><pr:Relationship Id="rIdURL236" Type="http://schemas.openxmlformats.org/officeDocument/2006/relationships/hyperlink" Target="https://www.fisp.org/members/national-societies" TargetMode="External" /><pr:Relationship Id="rIdURL237" Type="http://schemas.openxmlformats.org/officeDocument/2006/relationships/hyperlink" Target="https://www.fisp.org/members/national-societies" TargetMode="External" /><pr:Relationship Id="rIdURL238" Type="http://schemas.openxmlformats.org/officeDocument/2006/relationships/hyperlink" Target="https://asociacionfilosoficamx.com/" TargetMode="External" /><pr:Relationship Id="rIdURL239" Type="http://schemas.openxmlformats.org/officeDocument/2006/relationships/hyperlink" Target="https://www.fisp.org/members/national-societies" TargetMode="External" /><pr:Relationship Id="rIdURL240" Type="http://schemas.openxmlformats.org/officeDocument/2006/relationships/hyperlink" Target="https://asociacionfilosoficamx.com/" TargetMode="External" /><pr:Relationship Id="rIdURL241" Type="http://schemas.openxmlformats.org/officeDocument/2006/relationships/hyperlink" Target="https://asociacionfilosoficamx.com/consejo-directivo-2026-2028/" TargetMode="External" /><pr:Relationship Id="rIdURL242" Type="http://schemas.openxmlformats.org/officeDocument/2006/relationships/hyperlink" Target="https://www.facebook.com/p/Asociaci%C3%B3n-Filos%C3%B3fica-de-M%C3%A9xico-AC-100083069895575/" TargetMode="External" /><pr:Relationship Id="rIdURL243" Type="http://schemas.openxmlformats.org/officeDocument/2006/relationships/hyperlink" Target="https://www.fisp.org/members/national-societies" TargetMode="External" /><pr:Relationship Id="rIdURL244" Type="http://schemas.openxmlformats.org/officeDocument/2006/relationships/hyperlink" Target="https://www.instagram.com/afilomex/" TargetMode="External" /><pr:Relationship Id="rIdURL245" Type="http://schemas.openxmlformats.org/officeDocument/2006/relationships/hyperlink" Target="https://www.youtube.com/@AfmOrgMx" TargetMode="External" /><pr:Relationship Id="rIdURL246" Type="http://schemas.openxmlformats.org/officeDocument/2006/relationships/hyperlink" Target="https://www.youtube.com/@AfmOrgMx?cbrd=1&amp;ucbcb=1" TargetMode="External" /><pr:Relationship Id="rIdURL247" Type="http://schemas.openxmlformats.org/officeDocument/2006/relationships/hyperlink" Target="https://x.com/afilomex" TargetMode="External" /><pr:Relationship Id="rIdURL248" Type="http://schemas.openxmlformats.org/officeDocument/2006/relationships/hyperlink" Target="https://www.fisp.org/members/national-societies" TargetMode="External" /><pr:Relationship Id="rIdURL249" Type="http://schemas.openxmlformats.org/officeDocument/2006/relationships/hyperlink" Target="https://www.sociedadmexicanadefilosofia.org/" TargetMode="External" /><pr:Relationship Id="rIdURL250" Type="http://schemas.openxmlformats.org/officeDocument/2006/relationships/hyperlink" Target="https://asplf.org/liste-des-societes/" TargetMode="External" /><pr:Relationship Id="rIdURL251" Type="http://schemas.openxmlformats.org/officeDocument/2006/relationships/hyperlink" Target="https://cipsh.one/members/" TargetMode="External" /><pr:Relationship Id="rIdURL252" Type="http://schemas.openxmlformats.org/officeDocument/2006/relationships/hyperlink" Target="https://rediberoamericanafilosofia.com/acafi/" TargetMode="External" /><pr:Relationship Id="rIdURL253" Type="http://schemas.openxmlformats.org/officeDocument/2006/relationships/hyperlink" Target="https://www.fisp.org/members/national-societies" TargetMode="External" /><pr:Relationship Id="rIdURL254" Type="http://schemas.openxmlformats.org/officeDocument/2006/relationships/hyperlink" Target="https://msuir.usm.md/server/api/core/bitstreams/a3729c09-7480-44bf-ad49-1e6b87ae0a90/content" TargetMode="External" /><pr:Relationship Id="rIdURL255" Type="http://schemas.openxmlformats.org/officeDocument/2006/relationships/hyperlink" Target="https://asociatiapentrufilosofie.wordpress.com/" TargetMode="External" /><pr:Relationship Id="rIdURL256" Type="http://schemas.openxmlformats.org/officeDocument/2006/relationships/hyperlink" Target="https://msuir.usm.md/server/api/core/bitstreams/a3729c09-7480-44bf-ad49-1e6b87ae0a90/content" TargetMode="External" /><pr:Relationship Id="rIdURL257" Type="http://schemas.openxmlformats.org/officeDocument/2006/relationships/hyperlink" Target="https://www.fisp.org/members/national-societies" TargetMode="External" /><pr:Relationship Id="rIdURL258" Type="http://schemas.openxmlformats.org/officeDocument/2006/relationships/hyperlink" Target="https://www.mongolianphilosophy.org/" TargetMode="External" /><pr:Relationship Id="rIdURL259" Type="http://schemas.openxmlformats.org/officeDocument/2006/relationships/hyperlink" Target="https://www.fisp.org/members/national-societies" TargetMode="External" /><pr:Relationship Id="rIdURL260" Type="http://schemas.openxmlformats.org/officeDocument/2006/relationships/hyperlink" Target="https://www.fisp.org/members/national-societies" TargetMode="External" /><pr:Relationship Id="rIdURL261" Type="http://schemas.openxmlformats.org/officeDocument/2006/relationships/hyperlink" Target="https://www.fisp.org/members/national-societies" TargetMode="External" /><pr:Relationship Id="rIdURL262" Type="http://schemas.openxmlformats.org/officeDocument/2006/relationships/hyperlink" Target="https://www.fisp.org/members/national-societies" TargetMode="External" /><pr:Relationship Id="rIdURL263" Type="http://schemas.openxmlformats.org/officeDocument/2006/relationships/hyperlink" Target="https://main.oouagoiwoye.edu.ng/colleges/faculties/arts/religious/" TargetMode="External" /><pr:Relationship Id="rIdURL264" Type="http://schemas.openxmlformats.org/officeDocument/2006/relationships/hyperlink" Target="https://www.appon.org.ng/" TargetMode="External" /><pr:Relationship Id="rIdURL265" Type="http://schemas.openxmlformats.org/officeDocument/2006/relationships/hyperlink" Target="https://www.fisp.org/members/national-societies" TargetMode="External" /><pr:Relationship Id="rIdURL266" Type="http://schemas.openxmlformats.org/officeDocument/2006/relationships/hyperlink" Target="https://thelegalobserver.com.ng/2026/08/15/aaua-professor-akinnawonu-inducted-into-nigeria-academy-of-letters/" TargetMode="External" /><pr:Relationship Id="rIdURL267" Type="http://schemas.openxmlformats.org/officeDocument/2006/relationships/hyperlink" Target="https://ujws.uniosun.edu.ng/ijpc/issue/download/5/33" TargetMode="External" /><pr:Relationship Id="rIdURL268" Type="http://schemas.openxmlformats.org/officeDocument/2006/relationships/hyperlink" Target="https://www.fisp.org/members/national-societies" TargetMode="External" /><pr:Relationship Id="rIdURL269" Type="http://schemas.openxmlformats.org/officeDocument/2006/relationships/hyperlink" Target="https://www.pan-edu.org/" TargetMode="External" /><pr:Relationship Id="rIdURL270" Type="http://schemas.openxmlformats.org/officeDocument/2006/relationships/hyperlink" Target="https://www.ozsw.nl/about-the-ozsw/" TargetMode="External" /><pr:Relationship Id="rIdURL271" Type="http://schemas.openxmlformats.org/officeDocument/2006/relationships/hyperlink" Target="https://www.fisp.org/members/national-societies" TargetMode="External" /><pr:Relationship Id="rIdURL272" Type="http://schemas.openxmlformats.org/officeDocument/2006/relationships/hyperlink" Target="https://www.ozsw.nl/" TargetMode="External" /><pr:Relationship Id="rIdURL273" Type="http://schemas.openxmlformats.org/officeDocument/2006/relationships/hyperlink" Target="https://www.ozsw.nl/about-the-ozsw/" TargetMode="External" /><pr:Relationship Id="rIdURL274" Type="http://schemas.openxmlformats.org/officeDocument/2006/relationships/hyperlink" Target="https://aap.org.au/about/Board" TargetMode="External" /><pr:Relationship Id="rIdURL275" Type="http://schemas.openxmlformats.org/officeDocument/2006/relationships/hyperlink" Target="https://culturalmap.gov.ae/ar/facilities/philosophy-house" TargetMode="External" /><pr:Relationship Id="rIdURL276" Type="http://schemas.openxmlformats.org/officeDocument/2006/relationships/hyperlink" Target="https://culturalmap.gov.ae/ar/facilities/philosophy-house" TargetMode="External" /><pr:Relationship Id="rIdURL277" Type="http://schemas.openxmlformats.org/officeDocument/2006/relationships/hyperlink" Target="https://www.facebook.com/philosophyhouse.ae" TargetMode="External" /><pr:Relationship Id="rIdURL278" Type="http://schemas.openxmlformats.org/officeDocument/2006/relationships/hyperlink" Target="https://www.fisp.org/members/national-societies" TargetMode="External" /><pr:Relationship Id="rIdURL279" Type="http://schemas.openxmlformats.org/officeDocument/2006/relationships/hyperlink" Target="https://www.instagram.com/philosophyhouse.ae/" TargetMode="External" /><pr:Relationship Id="rIdURL280" Type="http://schemas.openxmlformats.org/officeDocument/2006/relationships/hyperlink" Target="https://www.philosophyhouse.ae/" TargetMode="External" /><pr:Relationship Id="rIdURL281" Type="http://schemas.openxmlformats.org/officeDocument/2006/relationships/hyperlink" Target="https://philosophyhouse.ae/" TargetMode="External" /><pr:Relationship Id="rIdURL282" Type="http://schemas.openxmlformats.org/officeDocument/2006/relationships/hyperlink" Target="https://www.youtube.com/@philosophyhouse-ae" TargetMode="External" /><pr:Relationship Id="rIdURL283" Type="http://schemas.openxmlformats.org/officeDocument/2006/relationships/hyperlink" Target="https://www.youtube.com/@philosophyhouse-ae?cbrd=1&amp;ucbcb=1" TargetMode="External" /><pr:Relationship Id="rIdURL284" Type="http://schemas.openxmlformats.org/officeDocument/2006/relationships/hyperlink" Target="https://x.com/philosophy_UAE" TargetMode="External" /><pr:Relationship Id="rIdURL285" Type="http://schemas.openxmlformats.org/officeDocument/2006/relationships/hyperlink" Target="https://rediberoamericanafilosofia.com/acafi/" TargetMode="External" /><pr:Relationship Id="rIdURL286" Type="http://schemas.openxmlformats.org/officeDocument/2006/relationships/hyperlink" Target="https://azurrevista.com/wp-content/uploads/2026/08/1_Acta-del-XIV-Congreso-Centroamericano-de-Filosofia.html" TargetMode="External" /><pr:Relationship Id="rIdURL287" Type="http://schemas.openxmlformats.org/officeDocument/2006/relationships/hyperlink" Target="https://cienciasdelsur.com/2018/03/09/sociedad-paraguaya-de-filosofia-saber-avanzar/" TargetMode="External" /><pr:Relationship Id="rIdURL288" Type="http://schemas.openxmlformats.org/officeDocument/2006/relationships/hyperlink" Target="https://cifpy.wordpress.com/institucional/" TargetMode="External" /><pr:Relationship Id="rIdURL289" Type="http://schemas.openxmlformats.org/officeDocument/2006/relationships/hyperlink" Target="https://elnacional.com.py/agenda-cultural/ciclo-virtual-conferencias-torno-etica-politica-n75970" TargetMode="External" /><pr:Relationship Id="rIdURL290" Type="http://schemas.openxmlformats.org/officeDocument/2006/relationships/hyperlink" Target="https://sociedadperuanadefilosofia.org.pe/nuestra-historia/" TargetMode="External" /><pr:Relationship Id="rIdURL291" Type="http://schemas.openxmlformats.org/officeDocument/2006/relationships/hyperlink" Target="https://elperuano.pe/noticia/295932-lo-peruano-sigue-siendo-un-desafio" TargetMode="External" /><pr:Relationship Id="rIdURL292" Type="http://schemas.openxmlformats.org/officeDocument/2006/relationships/hyperlink" Target="https://sociedadperuanadefilosofia.org.pe/" TargetMode="External" /><pr:Relationship Id="rIdURL293" Type="http://schemas.openxmlformats.org/officeDocument/2006/relationships/hyperlink" Target="https://sociedadperuanadefilosofia.org.pe/nuestra-historia/" TargetMode="External" /><pr:Relationship Id="rIdURL294" Type="http://schemas.openxmlformats.org/officeDocument/2006/relationships/hyperlink" Target="https://ptfilozofia.pl/strony-ptf/ptf-statut/" TargetMode="External" /><pr:Relationship Id="rIdURL295" Type="http://schemas.openxmlformats.org/officeDocument/2006/relationships/hyperlink" Target="https://ptfilozofia.pl/" TargetMode="External" /><pr:Relationship Id="rIdURL296" Type="http://schemas.openxmlformats.org/officeDocument/2006/relationships/hyperlink" Target="https://ptfilozofia.pl/strony-ptf/ptf-statut/" TargetMode="External" /><pr:Relationship Id="rIdURL297" Type="http://schemas.openxmlformats.org/officeDocument/2006/relationships/hyperlink" Target="https://ptfilozofia.pl/strony-ptf/ptf-wydawnictwa/" TargetMode="External" /><pr:Relationship Id="rIdURL298" Type="http://schemas.openxmlformats.org/officeDocument/2006/relationships/hyperlink" Target="https://ptfilozofia.pl/strony-ptf/ptf-zarzad/" TargetMode="External" /><pr:Relationship Id="rIdURL299" Type="http://schemas.openxmlformats.org/officeDocument/2006/relationships/hyperlink" Target="https://www.fisp.org/members/national-societies" TargetMode="External" /><pr:Relationship Id="rIdURL300" Type="http://schemas.openxmlformats.org/officeDocument/2006/relationships/hyperlink" Target="https://www.spfil.pt/sobre/" TargetMode="External" /><pr:Relationship Id="rIdURL301" Type="http://schemas.openxmlformats.org/officeDocument/2006/relationships/hyperlink" Target="https://www.facebook.com/Sociedade-Portuguesa-de-Filosofia-343152035785797/" TargetMode="External" /><pr:Relationship Id="rIdURL302" Type="http://schemas.openxmlformats.org/officeDocument/2006/relationships/hyperlink" Target="https://www.facebook.com/login/?next=https%3A%2F%2Fwww.facebook.com%2FSociedade-Portuguesa-de-Filosofia-343152035785797%2F" TargetMode="External" /><pr:Relationship Id="rIdURL303" Type="http://schemas.openxmlformats.org/officeDocument/2006/relationships/hyperlink" Target="https://www.fisp.org/members/national-societies" TargetMode="External" /><pr:Relationship Id="rIdURL304" Type="http://schemas.openxmlformats.org/officeDocument/2006/relationships/hyperlink" Target="https://www.spfil.pt/" TargetMode="External" /><pr:Relationship Id="rIdURL305" Type="http://schemas.openxmlformats.org/officeDocument/2006/relationships/hyperlink" Target="https://www.spfil.pt/orgaos" TargetMode="External" /><pr:Relationship Id="rIdURL306" Type="http://schemas.openxmlformats.org/officeDocument/2006/relationships/hyperlink" Target="https://www.fisp.org/members/national-societies" TargetMode="External" /><pr:Relationship Id="rIdURL307" Type="http://schemas.openxmlformats.org/officeDocument/2006/relationships/hyperlink" Target="https://www.fisp.org/members/national-societies" TargetMode="External" /><pr:Relationship Id="rIdURL308" Type="http://schemas.openxmlformats.org/officeDocument/2006/relationships/hyperlink" Target="https://xn--n1adm.xn--p1acf/" TargetMode="External" /><pr:Relationship Id="rIdURL309" Type="http://schemas.openxmlformats.org/officeDocument/2006/relationships/hyperlink" Target="https://xn--n1adm.xn--p1acf/%d0%bd%d0%be%d0%b2%d1%8b%d0%b9-%d0%b2%d1%8b%d0%bf%d1%83%d1%81%d0%ba/" TargetMode="External" /><pr:Relationship Id="rIdURL310" Type="http://schemas.openxmlformats.org/officeDocument/2006/relationships/hyperlink" Target="https://xn--n1adm.xn--p1acf/2026/06/ix-%D1%80%D0%BE%D1%81%D1%81%D0%B8%D0%B9%D1%81%D0%BA%D0%B8%D0%B9-%D1%84%D0%B8%D0%BB%D0%BE%D1%81%D0%BE%D1%84%D1%81%D0%BA%D0%B8%D0%B9-%D0%BA%D0%BE%D0%BD%D0%B3%D1%80%D0%B5%D1%81%D1%81-%D1%84%D0%B8-2/" TargetMode="External" /><pr:Relationship Id="rIdURL311" Type="http://schemas.openxmlformats.org/officeDocument/2006/relationships/hyperlink" Target="https://www.unesco.rw/IMG/pdf/007_december_2016.pdf" TargetMode="External" /><pr:Relationship Id="rIdURL312" Type="http://schemas.openxmlformats.org/officeDocument/2006/relationships/hyperlink" Target="https://www.unesco.rw/IMG/pdf/007_december_2016.pdf" TargetMode="External" /><pr:Relationship Id="rIdURL313" Type="http://schemas.openxmlformats.org/officeDocument/2006/relationships/hyperlink" Target="https://srfil.org/" TargetMode="External" /><pr:Relationship Id="rIdURL314" Type="http://schemas.openxmlformats.org/officeDocument/2006/relationships/hyperlink" Target="https://srfil.org/" TargetMode="External" /><pr:Relationship Id="rIdURL315" Type="http://schemas.openxmlformats.org/officeDocument/2006/relationships/hyperlink" Target="https://rediberoamericanafilosofia.com/acafi/" TargetMode="External" /><pr:Relationship Id="rIdURL316" Type="http://schemas.openxmlformats.org/officeDocument/2006/relationships/hyperlink" Target="https://azurrevista.com/" TargetMode="External" /><pr:Relationship Id="rIdURL317" Type="http://schemas.openxmlformats.org/officeDocument/2006/relationships/hyperlink" Target="https://azurrevista.com/wp-content/uploads/2026/08/1_Acta-del-XIV-Congreso-Centroamericano-de-Filosofia.html" TargetMode="External" /><pr:Relationship Id="rIdURL318" Type="http://schemas.openxmlformats.org/officeDocument/2006/relationships/hyperlink" Target="https://saudiphilosophy.com/about/?lang=ar" TargetMode="External" /><pr:Relationship Id="rIdURL319" Type="http://schemas.openxmlformats.org/officeDocument/2006/relationships/hyperlink" Target="https://saudiphilosophy.com/?lang=ar" TargetMode="External" /><pr:Relationship Id="rIdURL320" Type="http://schemas.openxmlformats.org/officeDocument/2006/relationships/hyperlink" Target="https://saudiphilosophy.com/about/?lang=ar" TargetMode="External" /><pr:Relationship Id="rIdURL321" Type="http://schemas.openxmlformats.org/officeDocument/2006/relationships/hyperlink" Target="https://saudiphilosophy.com/wp-content/uploads/2024/11/PHOTO-2024-11-06-08-36-23.jpg" TargetMode="External" /><pr:Relationship Id="rIdURL322" Type="http://schemas.openxmlformats.org/officeDocument/2006/relationships/hyperlink" Target="https://twitter.com/PhilosophySaudi" TargetMode="External" /><pr:Relationship Id="rIdURL323" Type="http://schemas.openxmlformats.org/officeDocument/2006/relationships/hyperlink" Target="https://x.com/PhilosophySaudi" TargetMode="External" /><pr:Relationship Id="rIdURL324" Type="http://schemas.openxmlformats.org/officeDocument/2006/relationships/hyperlink" Target="https://www.facebook.com/%D8%AC%D9%85%D8%B9%D9%8A%D8%A9-%D8%A7%D9%84%D9%81%D9%84%D8%B3%D9%81%D8%A9-105731148432942" TargetMode="External" /><pr:Relationship Id="rIdURL325" Type="http://schemas.openxmlformats.org/officeDocument/2006/relationships/hyperlink" Target="https://www.facebook.com/login/?next=https%3A%2F%2Fwww.facebook.com%2F%25D8%25AC%25D9%2585%25D8%25B9%25D9%258A%25D8%25A9-%25D8%25A7%25D9%2584%25D9%2581%25D9%2584%25D8%25B3%25D9%2581%25D8%25A9-105731148432942" TargetMode="External" /><pr:Relationship Id="rIdURL326" Type="http://schemas.openxmlformats.org/officeDocument/2006/relationships/hyperlink" Target="https://www.instagram.com/philosophysaudi/" TargetMode="External" /><pr:Relationship Id="rIdURL327" Type="http://schemas.openxmlformats.org/officeDocument/2006/relationships/hyperlink" Target="https://www.youtube.com/channel/UCrErglr0qSJCY03zAAQT7lA" TargetMode="External" /><pr:Relationship Id="rIdURL328" Type="http://schemas.openxmlformats.org/officeDocument/2006/relationships/hyperlink" Target="https://www.google.com/sorry/index?continue=https://www.youtube.com/channel/UCrErglr0qSJCY03zAAQT7lA&amp;q=EhAqE5UAAeQARQAAAAACLQCVGNayjtYGIjCqNzXvWH0zwaqK4iUtLl1fvyteu96wR22enBw-IqBD3dM6Ob2cetUW7AiGeHLtg-QyAnJSWgFD" TargetMode="External" /><pr:Relationship Id="rIdURL329" Type="http://schemas.openxmlformats.org/officeDocument/2006/relationships/hyperlink" Target="https://fdm.mk/za-nas/" TargetMode="External" /><pr:Relationship Id="rIdURL330" Type="http://schemas.openxmlformats.org/officeDocument/2006/relationships/hyperlink" Target="https://fdm.mk/" TargetMode="External" /><pr:Relationship Id="rIdURL331" Type="http://schemas.openxmlformats.org/officeDocument/2006/relationships/hyperlink" Target="https://fdm.mk/filozofska-tribina/" TargetMode="External" /><pr:Relationship Id="rIdURL332" Type="http://schemas.openxmlformats.org/officeDocument/2006/relationships/hyperlink" Target="https://fdm.mk/za-nas/" TargetMode="External" /><pr:Relationship Id="rIdURL333" Type="http://schemas.openxmlformats.org/officeDocument/2006/relationships/hyperlink" Target="https://www.facebook.com/philosophicalsocietyofmacedonia" TargetMode="External" /><pr:Relationship Id="rIdURL334" Type="http://schemas.openxmlformats.org/officeDocument/2006/relationships/hyperlink" Target="https://www.fisp.org/members/national-societies" TargetMode="External" /><pr:Relationship Id="rIdURL335" Type="http://schemas.openxmlformats.org/officeDocument/2006/relationships/hyperlink" Target="https://www.youtube.com/channel/UCyJH6pTyOc7qWw5Gte9wisg/featured" TargetMode="External" /><pr:Relationship Id="rIdURL336" Type="http://schemas.openxmlformats.org/officeDocument/2006/relationships/hyperlink" Target="https://www.google.com/sorry/index?continue=https://www.youtube.com/channel/UCyJH6pTyOc7qWw5Gte9wisg/featured&amp;q=EhAqE5UAAeQARQAAAAACLQCVGN6xjtYGIjA_zGyQxlsbHntYfe84FITPny-CNDay9NgcCOTq2mjs45yFaYMpcXSUgkNjCNyz1_AyAnJSWgFD" TargetMode="External" /><pr:Relationship Id="rIdURL337" Type="http://schemas.openxmlformats.org/officeDocument/2006/relationships/hyperlink" Target="https://www.fisp.org/members/national-societies" TargetMode="External" /><pr:Relationship Id="rIdURL338" Type="http://schemas.openxmlformats.org/officeDocument/2006/relationships/hyperlink" Target="https://caribbeanphilosophy.org/ecole-africaine-de-philosophie" TargetMode="External" /><pr:Relationship Id="rIdURL339" Type="http://schemas.openxmlformats.org/officeDocument/2006/relationships/hyperlink" Target="https://editions.ucad.sn/series/serie_2/revue_22" TargetMode="External" /><pr:Relationship Id="rIdURL340" Type="http://schemas.openxmlformats.org/officeDocument/2006/relationships/hyperlink" Target="https://www.fisp.org/members/national-societies" TargetMode="External" /><pr:Relationship Id="rIdURL341" Type="http://schemas.openxmlformats.org/officeDocument/2006/relationships/hyperlink" Target="https://ustavni.sud.rs/ostalo/odnosi-sa-javnoscu/vesti/predsednik-ustavnog-suda-otvorio-vii-gruzanske" TargetMode="External" /><pr:Relationship Id="rIdURL342" Type="http://schemas.openxmlformats.org/officeDocument/2006/relationships/hyperlink" Target="https://knic.rs/vladan-petrov-predsednik-ustavnog-suda-srbije-posetio-opstinu-knic/" TargetMode="External" /><pr:Relationship Id="rIdURL343" Type="http://schemas.openxmlformats.org/officeDocument/2006/relationships/hyperlink" Target="https://nafasep.ucg.ac.me/assets/dok/Knjiga%20apstrakata%202025.pdf" TargetMode="External" /><pr:Relationship Id="rIdURL344" Type="http://schemas.openxmlformats.org/officeDocument/2006/relationships/hyperlink" Target="https://nitra.gov.rs/images/nauka/Kategorizacija%20naucnih%20casopisa/2025-05-13/lista-casopisa-2024.pdf" TargetMode="External" /><pr:Relationship Id="rIdURL345" Type="http://schemas.openxmlformats.org/officeDocument/2006/relationships/hyperlink" Target="https://www.doiserbia.nb.rs/journal.aspx?issn=0351-2274" TargetMode="External" /><pr:Relationship Id="rIdURL346" Type="http://schemas.openxmlformats.org/officeDocument/2006/relationships/hyperlink" Target="https://aap.org.au/about/Board" TargetMode="External" /><pr:Relationship Id="rIdURL347" Type="http://schemas.openxmlformats.org/officeDocument/2006/relationships/hyperlink" Target="https://www.fisp.org/members/national-societies" TargetMode="External" /><pr:Relationship Id="rIdURL348" Type="http://schemas.openxmlformats.org/officeDocument/2006/relationships/hyperlink" Target="https://www.fisp.org/members/national-societies" TargetMode="External" /><pr:Relationship Id="rIdURL349" Type="http://schemas.openxmlformats.org/officeDocument/2006/relationships/hyperlink" Target="https://www.sfz.sk/" TargetMode="External" /><pr:Relationship Id="rIdURL350" Type="http://schemas.openxmlformats.org/officeDocument/2006/relationships/hyperlink" Target="https://www.sfd-drustvo.si/" TargetMode="External" /><pr:Relationship Id="rIdURL351" Type="http://schemas.openxmlformats.org/officeDocument/2006/relationships/hyperlink" Target="https://www.sfd-drustvo.si/o-drustvu/" TargetMode="External" /><pr:Relationship Id="rIdURL352" Type="http://schemas.openxmlformats.org/officeDocument/2006/relationships/hyperlink" Target="http://www.anthropos.si/" TargetMode="External" /><pr:Relationship Id="rIdURL353" Type="http://schemas.openxmlformats.org/officeDocument/2006/relationships/hyperlink" Target="https://www.anthropos.si/" TargetMode="External" /><pr:Relationship Id="rIdURL354" Type="http://schemas.openxmlformats.org/officeDocument/2006/relationships/hyperlink" Target="https://twitter.com/SlovenskoD" TargetMode="External" /><pr:Relationship Id="rIdURL355" Type="http://schemas.openxmlformats.org/officeDocument/2006/relationships/hyperlink" Target="https://x.com/SlovenskoD" TargetMode="External" /><pr:Relationship Id="rIdURL356" Type="http://schemas.openxmlformats.org/officeDocument/2006/relationships/hyperlink" Target="https://www.facebook.com/Slovenskofilozofskodrustvo" TargetMode="External" /><pr:Relationship Id="rIdURL357" Type="http://schemas.openxmlformats.org/officeDocument/2006/relationships/hyperlink" Target="https://www.fisp.org/members/national-societies" TargetMode="External" /><pr:Relationship Id="rIdURL358" Type="http://schemas.openxmlformats.org/officeDocument/2006/relationships/hyperlink" Target="https://www.instagram.com/slovenskofilozofsko/" TargetMode="External" /><pr:Relationship Id="rIdURL359" Type="http://schemas.openxmlformats.org/officeDocument/2006/relationships/hyperlink" Target="https://www.sfd-drustvo.si/" TargetMode="External" /><pr:Relationship Id="rIdURL360" Type="http://schemas.openxmlformats.org/officeDocument/2006/relationships/hyperlink" Target="https://www.sfd-drustvo.si/o-drustvu/" TargetMode="External" /><pr:Relationship Id="rIdURL361" Type="http://schemas.openxmlformats.org/officeDocument/2006/relationships/hyperlink" Target="https://www.fisp.org/members/national-societies" TargetMode="External" /><pr:Relationship Id="rIdURL362" Type="http://schemas.openxmlformats.org/officeDocument/2006/relationships/hyperlink" Target="https://www.apaonline.org/" TargetMode="External" /><pr:Relationship Id="rIdURL363" Type="http://schemas.openxmlformats.org/officeDocument/2006/relationships/hyperlink" Target="https://www.apaonline.org/news/718414/Marya-Schechtman-elected-new-APA-board-chair.htm" TargetMode="External" /><pr:Relationship Id="rIdURL364" Type="http://schemas.openxmlformats.org/officeDocument/2006/relationships/hyperlink" Target="https://www.apaonline.org/page/journal/Journal-of-the-American-Philosophical-Association" TargetMode="External" /><pr:Relationship Id="rIdURL365" Type="http://schemas.openxmlformats.org/officeDocument/2006/relationships/hyperlink" Target="https://www.apaonline.org/page/journaleditorapp" TargetMode="External" /><pr:Relationship Id="rIdURL366" Type="http://schemas.openxmlformats.org/officeDocument/2006/relationships/hyperlink" Target="https://www.apaonline.org/page/mission" TargetMode="External" /><pr:Relationship Id="rIdURL367" Type="http://schemas.openxmlformats.org/officeDocument/2006/relationships/hyperlink" Target="https://www.apaonline.org/page/publications" TargetMode="External" /><pr:Relationship Id="rIdURL368" Type="http://schemas.openxmlformats.org/officeDocument/2006/relationships/hyperlink" Target="https://www.fisp.org/members/national-societies" TargetMode="External" /><pr:Relationship Id="rIdURL369" Type="http://schemas.openxmlformats.org/officeDocument/2006/relationships/hyperlink" Target="https://www.fisp.org/members/national-societies" TargetMode="External" /><pr:Relationship Id="rIdURL370" Type="http://schemas.openxmlformats.org/officeDocument/2006/relationships/hyperlink" Target="https://parst.or.th/" TargetMode="External" /><pr:Relationship Id="rIdURL371" Type="http://schemas.openxmlformats.org/officeDocument/2006/relationships/hyperlink" Target="https://so04.tci-thaijo.org/index.php/parst/" TargetMode="External" /><pr:Relationship Id="rIdURL372" Type="http://schemas.openxmlformats.org/officeDocument/2006/relationships/hyperlink" Target="https://so04.tci-thaijo.org/index.php/parst" TargetMode="External" /><pr:Relationship Id="rIdURL373" Type="http://schemas.openxmlformats.org/officeDocument/2006/relationships/hyperlink" Target="https://www.fisp.org/members/national-societies" TargetMode="External" /><pr:Relationship Id="rIdURL374" Type="http://schemas.openxmlformats.org/officeDocument/2006/relationships/hyperlink" Target="https://tpatw.org/conference/3440/" TargetMode="External" /><pr:Relationship Id="rIdURL375" Type="http://schemas.openxmlformats.org/officeDocument/2006/relationships/hyperlink" Target="https://www.fisp.org/members/national-societies" TargetMode="External" /><pr:Relationship Id="rIdURL376" Type="http://schemas.openxmlformats.org/officeDocument/2006/relationships/hyperlink" Target="https://tpatw.org/" TargetMode="External" /><pr:Relationship Id="rIdURL377" Type="http://schemas.openxmlformats.org/officeDocument/2006/relationships/hyperlink" Target="https://tpatw.org/abouttpa/constitution/" TargetMode="External" /><pr:Relationship Id="rIdURL378" Type="http://schemas.openxmlformats.org/officeDocument/2006/relationships/hyperlink" Target="https://tpatw.org/abouttpa/organize_14/" TargetMode="External" /><pr:Relationship Id="rIdURL379" Type="http://schemas.openxmlformats.org/officeDocument/2006/relationships/hyperlink" Target="https://www.facebook.com/tpa.net" TargetMode="External" /><pr:Relationship Id="rIdURL380" Type="http://schemas.openxmlformats.org/officeDocument/2006/relationships/hyperlink" Target="https://jo.gouv.tg/sites/default/files/annee/2013/jo%202013-29ter%20suppl.pdf" TargetMode="External" /><pr:Relationship Id="rIdURL381" Type="http://schemas.openxmlformats.org/officeDocument/2006/relationships/hyperlink" Target="https://www.isdblome.com/2025/11/25/les-philosophes-du-togo-reflechissent-sur-la-relation-entre-lhomme-et-lintelligence-artificielle/" TargetMode="External" /><pr:Relationship Id="rIdURL382" Type="http://schemas.openxmlformats.org/officeDocument/2006/relationships/hyperlink" Target="https://asplf.org/liste-des-societes/" TargetMode="External" /><pr:Relationship Id="rIdURL383" Type="http://schemas.openxmlformats.org/officeDocument/2006/relationships/hyperlink" Target="https://asplf.org/liste-des-societes/" TargetMode="External" /><pr:Relationship Id="rIdURL384" Type="http://schemas.openxmlformats.org/officeDocument/2006/relationships/hyperlink" Target="https://ateph.wordpress.com/" TargetMode="External" /><pr:Relationship Id="rIdURL385" Type="http://schemas.openxmlformats.org/officeDocument/2006/relationships/hyperlink" Target="https://www.tfk.org.tr/" TargetMode="External" /><pr:Relationship Id="rIdURL386" Type="http://schemas.openxmlformats.org/officeDocument/2006/relationships/hyperlink" Target="https://twitter.com/TRFelsefeKurumu" TargetMode="External" /><pr:Relationship Id="rIdURL387" Type="http://schemas.openxmlformats.org/officeDocument/2006/relationships/hyperlink" Target="https://x.com/TRFelsefeKurumu" TargetMode="External" /><pr:Relationship Id="rIdURL388" Type="http://schemas.openxmlformats.org/officeDocument/2006/relationships/hyperlink" Target="https://www.fisp.org/members/national-societies" TargetMode="External" /><pr:Relationship Id="rIdURL389" Type="http://schemas.openxmlformats.org/officeDocument/2006/relationships/hyperlink" Target="https://www.instagram.com/trfelsefekurumu/" TargetMode="External" /><pr:Relationship Id="rIdURL390" Type="http://schemas.openxmlformats.org/officeDocument/2006/relationships/hyperlink" Target="https://www.tfk.org.tr/" TargetMode="External" /><pr:Relationship Id="rIdURL391" Type="http://schemas.openxmlformats.org/officeDocument/2006/relationships/hyperlink" Target="https://www.tfk.org.tr/k-a-m-u-o-y-u-n-a-d-u-y-u-r-u562.html" TargetMode="External" /><pr:Relationship Id="rIdURL392" Type="http://schemas.openxmlformats.org/officeDocument/2006/relationships/hyperlink" Target="https://www.fisp.org/members/national-societies" TargetMode="External" /><pr:Relationship Id="rIdURL393" Type="http://schemas.openxmlformats.org/officeDocument/2006/relationships/hyperlink" Target="https://www.fisp.org/members/national-societies" TargetMode="External" /><pr:Relationship Id="rIdURL394" Type="http://schemas.openxmlformats.org/officeDocument/2006/relationships/hyperlink" Target="https://www.fisp.org/members/national-societies" TargetMode="External" /><pr:Relationship Id="rIdURL395" Type="http://schemas.openxmlformats.org/officeDocument/2006/relationships/hyperlink" Target="https://www.fisp.org/members/national-societies" TargetMode="External" /><pr:Relationship Id="rIdURL396" Type="http://schemas.openxmlformats.org/officeDocument/2006/relationships/hyperlink" Target="https://sfu.org.uy/estatutos/" TargetMode="External" /><pr:Relationship Id="rIdURL397" Type="http://schemas.openxmlformats.org/officeDocument/2006/relationships/hyperlink" Target="https://sfu.org.uy/" TargetMode="External" /><pr:Relationship Id="rIdURL398" Type="http://schemas.openxmlformats.org/officeDocument/2006/relationships/hyperlink" Target="https://sfu.org.uy/estatutos/" TargetMode="External" /><pr:Relationship Id="rIdURL399" Type="http://schemas.openxmlformats.org/officeDocument/2006/relationships/hyperlink" Target="https://sfu.org.uy/organos-de-gobierno/" TargetMode="External" /><pr:Relationship Id="rIdURL400" Type="http://schemas.openxmlformats.org/officeDocument/2006/relationships/hyperlink" Target="https://www.elenkhos.sfu.org.uy/index.php/home/" TargetMode="External" /><pr:Relationship Id="rIdURL401" Type="http://schemas.openxmlformats.org/officeDocument/2006/relationships/hyperlink" Target="https://www.fisp.org/members/national-societies" TargetMode="External" /><pr:Relationship Id="rIdURL402" Type="http://schemas.openxmlformats.org/officeDocument/2006/relationships/hyperlink" Target="https://www.fisp.org/members/national-societies" TargetMode="External" /><pr:Relationship Id="rIdURL403" Type="http://schemas.openxmlformats.org/officeDocument/2006/relationships/hyperlink" Target="https://www.pap73.site/" TargetMode="External" /><pr:Relationship Id="rIdURL404" Type="http://schemas.openxmlformats.org/officeDocument/2006/relationships/hyperlink" Target="https://www.fisp.org/members/national-societies" TargetMode="External" /><pr:Relationship Id="rIdURL405" Type="http://schemas.openxmlformats.org/officeDocument/2006/relationships/hyperlink" Target="https://suri.pap73.site/" TargetMode="External" /><pr:Relationship Id="rIdURL406" Type="http://schemas.openxmlformats.org/officeDocument/2006/relationships/hyperlink" Target="https://www.facebook.com/groups/PAP73" TargetMode="External" /><pr:Relationship Id="rIdURL407" Type="http://schemas.openxmlformats.org/officeDocument/2006/relationships/hyperlink" Target="https://www.facebook.com/login/?next=https%3A%2F%2Fwww.facebook.com%2Fgroups%2FPAP73" TargetMode="External" /><pr:Relationship Id="rIdURL408" Type="http://schemas.openxmlformats.org/officeDocument/2006/relationships/hyperlink" Target="https://www.fisp.org/members/national-societies" TargetMode="External" /><pr:Relationship Id="rIdURL409" Type="http://schemas.openxmlformats.org/officeDocument/2006/relationships/hyperlink" Target="https://www.pap73.site/" TargetMode="External" /><pr:Relationship Id="rIdURL410" Type="http://schemas.openxmlformats.org/officeDocument/2006/relationships/hyperlink" Target="https://www.pap73.site/board-members.html" TargetMode="External" /><pr:Relationship Id="rIdURL411" Type="http://schemas.openxmlformats.org/officeDocument/2006/relationships/hyperlink" Target="https://www.pap73.site/images/482474120_554891413612418_8013261265634003241_n.jpg" TargetMode="External" /><pr:Relationship Id="rIdURL412" Type="http://schemas.openxmlformats.org/officeDocument/2006/relationships/hyperlink" Target="https://bisu.edu.ph/2025/06/17/philosophizing-the-filipino-soul-usapp-summit-champions-identity-ethics-and-cultural-reflection/" TargetMode="External" /><pr:Relationship Id="rIdURL413" Type="http://schemas.openxmlformats.org/officeDocument/2006/relationships/hyperlink" Target="https://www.filosofinenyhdistys.fi/yhdistys/saannot/" TargetMode="External" /><pr:Relationship Id="rIdURL414" Type="http://schemas.openxmlformats.org/officeDocument/2006/relationships/hyperlink" Target="https://www.facebook.com/filosofinenyhdistys/" TargetMode="External" /><pr:Relationship Id="rIdURL415" Type="http://schemas.openxmlformats.org/officeDocument/2006/relationships/hyperlink" Target="https://www.filosofinenyhdistys.fi/" TargetMode="External" /><pr:Relationship Id="rIdURL416" Type="http://schemas.openxmlformats.org/officeDocument/2006/relationships/hyperlink" Target="https://www.filosofinenyhdistys.fi/toiminta/acta-philosophica-fennica/" TargetMode="External" /><pr:Relationship Id="rIdURL417" Type="http://schemas.openxmlformats.org/officeDocument/2006/relationships/hyperlink" Target="https://www.filosofinenyhdistys.fi/toiminta/ajatus/" TargetMode="External" /><pr:Relationship Id="rIdURL418" Type="http://schemas.openxmlformats.org/officeDocument/2006/relationships/hyperlink" Target="https://www.filosofinenyhdistys.fi/yhdistys/hallitus/" TargetMode="External" /><pr:Relationship Id="rIdURL419" Type="http://schemas.openxmlformats.org/officeDocument/2006/relationships/hyperlink" Target="https://www.filosofinenyhdistys.fi/yhdistys/saannot/" TargetMode="External" /><pr:Relationship Id="rIdURL420" Type="http://schemas.openxmlformats.org/officeDocument/2006/relationships/hyperlink" Target="https://www.fisp.org/members/national-societies" TargetMode="External" /><pr:Relationship Id="rIdURL421" Type="http://schemas.openxmlformats.org/officeDocument/2006/relationships/hyperlink" Target="https://www.sofrphilo.fr/" TargetMode="External" /><pr:Relationship Id="rIdURL422" Type="http://schemas.openxmlformats.org/officeDocument/2006/relationships/hyperlink" Target="https://www.fisp.org/members/national-societies" TargetMode="External" /><pr:Relationship Id="rIdURL423" Type="http://schemas.openxmlformats.org/officeDocument/2006/relationships/hyperlink" Target="https://www.sofrphilo.fr/" TargetMode="External" /><pr:Relationship Id="rIdURL424" Type="http://schemas.openxmlformats.org/officeDocument/2006/relationships/hyperlink" Target="https://www.sofrphilo.fr/activites-scientifiques-de-la-sfp/" TargetMode="External" /><pr:Relationship Id="rIdURL425" Type="http://schemas.openxmlformats.org/officeDocument/2006/relationships/hyperlink" Target="https://www.sofrphilo.fr/category/bulletin-de-la-sfp/" TargetMode="External" /><pr:Relationship Id="rIdURL426" Type="http://schemas.openxmlformats.org/officeDocument/2006/relationships/hyperlink" Target="https://www.sofrphilo.fr/category/revue-de-metaphysique-et-de-morale/" TargetMode="External" /><pr:Relationship Id="rIdURL427" Type="http://schemas.openxmlformats.org/officeDocument/2006/relationships/hyperlink" Target="https://www.sofrphilo.fr/la-societe-francaise-de-philosophie/bureau-et-ca/" TargetMode="External" /><pr:Relationship Id="rIdURL428" Type="http://schemas.openxmlformats.org/officeDocument/2006/relationships/hyperlink" Target="https://www.hrfd.hr/o-hfd-u/statut-hfd-a/" TargetMode="External" /><pr:Relationship Id="rIdURL429" Type="http://schemas.openxmlformats.org/officeDocument/2006/relationships/hyperlink" Target="https://www.fisp.org/members/national-societies" TargetMode="External" /><pr:Relationship Id="rIdURL430" Type="http://schemas.openxmlformats.org/officeDocument/2006/relationships/hyperlink" Target="https://www.hrfd.hr/" TargetMode="External" /><pr:Relationship Id="rIdURL431" Type="http://schemas.openxmlformats.org/officeDocument/2006/relationships/hyperlink" Target="https://www.hrfd.hr/filozofska-istrazivanja/" TargetMode="External" /><pr:Relationship Id="rIdURL432" Type="http://schemas.openxmlformats.org/officeDocument/2006/relationships/hyperlink" Target="https://www.hrfd.hr/o-hfd-u/statut-hfd-a/" TargetMode="External" /><pr:Relationship Id="rIdURL433" Type="http://schemas.openxmlformats.org/officeDocument/2006/relationships/hyperlink" Target="https://www.hrfd.hr/o-hfd-u/upravni-i-nadzorni-odbor-hfd-a/" TargetMode="External" /><pr:Relationship Id="rIdURL434" Type="http://schemas.openxmlformats.org/officeDocument/2006/relationships/hyperlink" Target="https://www.hrfd.hr/synthesis-philosophica/" TargetMode="External" /><pr:Relationship Id="rIdURL435" Type="http://schemas.openxmlformats.org/officeDocument/2006/relationships/hyperlink" Target="https://www.fisp.org/members/national-societies" TargetMode="External" /><pr:Relationship Id="rIdURL436" Type="http://schemas.openxmlformats.org/officeDocument/2006/relationships/hyperlink" Target="https://www.fisp.org/members/national-societies" TargetMode="External" /><pr:Relationship Id="rIdURL437" Type="http://schemas.openxmlformats.org/officeDocument/2006/relationships/hyperlink" Target="https://stag.upol.cz/ects/fakulty/FIF/KFI/BJ20L?lang=cs" TargetMode="External" /><pr:Relationship Id="rIdURL438" Type="http://schemas.openxmlformats.org/officeDocument/2006/relationships/hyperlink" Target="https://jednota-filozoficka.cz/" TargetMode="External" /><pr:Relationship Id="rIdURL439" Type="http://schemas.openxmlformats.org/officeDocument/2006/relationships/hyperlink" Target="https://stag.upol.cz/ects/fakulty/FIF/KFI/BJ20L?lang=cs" TargetMode="External" /><pr:Relationship Id="rIdURL440" Type="http://schemas.openxmlformats.org/officeDocument/2006/relationships/hyperlink" Target="https://www.fisp.org/members/national-societies" TargetMode="External" /><pr:Relationship Id="rIdURL441" Type="http://schemas.openxmlformats.org/officeDocument/2006/relationships/hyperlink" Target="https://www.fisp.org/members/national-societies" TargetMode="External" /><pr:Relationship Id="rIdURL442" Type="http://schemas.openxmlformats.org/officeDocument/2006/relationships/hyperlink" Target="https://cs-religiosas.uct.cl/noticias/x-congreso-nacional-de-filosofia-de-la-asociacion-chilena-de-filosofia-se-realizara-en-temuco/" TargetMode="External" /><pr:Relationship Id="rIdURL443" Type="http://schemas.openxmlformats.org/officeDocument/2006/relationships/hyperlink" Target="https://www.achif.cl/" TargetMode="External" /><pr:Relationship Id="rIdURL444" Type="http://schemas.openxmlformats.org/officeDocument/2006/relationships/hyperlink" Target="https://www.achif.cl/estatutos/" TargetMode="External" /><pr:Relationship Id="rIdURL445" Type="http://schemas.openxmlformats.org/officeDocument/2006/relationships/hyperlink" Target="https://www.fisp.org/members/national-societies" TargetMode="External" /><pr:Relationship Id="rIdURL446" Type="http://schemas.openxmlformats.org/officeDocument/2006/relationships/hyperlink" Target="https://www.sagw.ch/de/spg/die-statuten" TargetMode="External" /><pr:Relationship Id="rIdURL447" Type="http://schemas.openxmlformats.org/officeDocument/2006/relationships/hyperlink" Target="https://www.fisp.org/members/national-societies" TargetMode="External" /><pr:Relationship Id="rIdURL448" Type="http://schemas.openxmlformats.org/officeDocument/2006/relationships/hyperlink" Target="https://www.sagw.ch/de/spg" TargetMode="External" /><pr:Relationship Id="rIdURL449" Type="http://schemas.openxmlformats.org/officeDocument/2006/relationships/hyperlink" Target="https://www.sagw.ch/de/spg/die-statuten" TargetMode="External" /><pr:Relationship Id="rIdURL450" Type="http://schemas.openxmlformats.org/officeDocument/2006/relationships/hyperlink" Target="https://www.sagw.ch/de/spg/publikationen" TargetMode="External" /><pr:Relationship Id="rIdURL451" Type="http://schemas.openxmlformats.org/officeDocument/2006/relationships/hyperlink" Target="https://www.sagw.ch/de/spg/vorstand" TargetMode="External" /><pr:Relationship Id="rIdURL452" Type="http://schemas.openxmlformats.org/officeDocument/2006/relationships/hyperlink" Target="https://www.umu.se/en/department-of-historical-philosophical-and-religious-studies/research/our-research-subjects/philosophy/swedish-congress-of-philosophy/" TargetMode="External" /><pr:Relationship Id="rIdURL453" Type="http://schemas.openxmlformats.org/officeDocument/2006/relationships/hyperlink" Target="https://www.umu.se/en/department-of-historical-philosophical-and-religious-studies/research/our-research-subjects/philosophy/swedish-congress-of-philosophy/" TargetMode="External" /><pr:Relationship Id="rIdURL454" Type="http://schemas.openxmlformats.org/officeDocument/2006/relationships/hyperlink" Target="https://recfil.org/" TargetMode="External" /><pr:Relationship Id="rIdURL455" Type="http://schemas.openxmlformats.org/officeDocument/2006/relationships/hyperlink" Target="https://recfil.org/manifiesto/" TargetMode="External" /><pr:Relationship Id="rIdURL456" Type="http://schemas.openxmlformats.org/officeDocument/2006/relationships/hyperlink" Target="https://recfil.org/nosotros/" TargetMode="External" /><pr:Relationship Id="rIdURL457" Type="http://schemas.openxmlformats.org/officeDocument/2006/relationships/hyperlink" Target="https://www.asambleanacional.gob.ec/kichwa/noticia/4335-asamblea-nacional-otorga-condecoracion-postuma-bolivar" TargetMode="External" /><pr:Relationship Id="rIdURL458" Type="http://schemas.openxmlformats.org/officeDocument/2006/relationships/hyperlink" Target="https://www.facebook.com/redecuatorianafilosofia" TargetMode="External" /><pr:Relationship Id="rIdURL459" Type="http://schemas.openxmlformats.org/officeDocument/2006/relationships/hyperlink" Target="https://www.instagram.com/redecuatorianadefilosofia" TargetMode="External" /><pr:Relationship Id="rIdURL460" Type="http://schemas.openxmlformats.org/officeDocument/2006/relationships/hyperlink" Target="https://www.youtube.com/@redecuatorianadefilosofia" TargetMode="External" /><pr:Relationship Id="rIdURL461" Type="http://schemas.openxmlformats.org/officeDocument/2006/relationships/hyperlink" Target="https://www.youtube.com/@redecuatorianadefilosofia?cbrd=1&amp;ucbcb=1" TargetMode="External" /><pr:Relationship Id="rIdURL462" Type="http://schemas.openxmlformats.org/officeDocument/2006/relationships/hyperlink" Target="https://www.fisp.org/members/national-societies" TargetMode="External" /><pr:Relationship Id="rIdURL463" Type="http://schemas.openxmlformats.org/officeDocument/2006/relationships/hyperlink" Target="https://ndabaonline.ukzn.ac.za/UkzndabaStory/volume-14-Issue-24/ukzn-philosophy-postgraduates-shine-at-national-symposium/" TargetMode="External" /><pr:Relationship Id="rIdURL464" Type="http://schemas.openxmlformats.org/officeDocument/2006/relationships/hyperlink" Target="https://philsafrica.wordpress.com/" TargetMode="External" /><pr:Relationship Id="rIdURL465" Type="http://schemas.openxmlformats.org/officeDocument/2006/relationships/hyperlink" Target="https://www.fisp.org/members/national-societies" TargetMode="External" /><pr:Relationship Id="rIdURL466" Type="http://schemas.openxmlformats.org/officeDocument/2006/relationships/hyperlink" Target="https://www.tandfonline.com/journals/rsph20" TargetMode="External" /><pr:Relationship Id="rIdURL467" Type="http://schemas.openxmlformats.org/officeDocument/2006/relationships/hyperlink" Target="https://hanchul.org/" TargetMode="External" /><pr:Relationship Id="rIdURL468" Type="http://schemas.openxmlformats.org/officeDocument/2006/relationships/hyperlink" Target="https://hanchul.org/" TargetMode="External" /><pr:Relationship Id="rIdURL469" Type="http://schemas.openxmlformats.org/officeDocument/2006/relationships/hyperlink" Target="https://hanchul.org/homepage/custom/greeting" TargetMode="External" /><pr:Relationship Id="rIdURL470" Type="http://schemas.openxmlformats.org/officeDocument/2006/relationships/hyperlink" Target="https://philosophy.jams.or.kr/co/main/jmMain.kci" TargetMode="External" /><pr:Relationship Id="rIdURL471" Type="http://schemas.openxmlformats.org/officeDocument/2006/relationships/hyperlink" Target="https://www.fisp.org/members/national-societies" TargetMode="External" /><pr:Relationship Id="rIdURL472" Type="http://schemas.openxmlformats.org/officeDocument/2006/relationships/hyperlink" Target="https://philosophy-japan.org/category/summary/" TargetMode="External" /><pr:Relationship Id="rIdURL473" Type="http://schemas.openxmlformats.org/officeDocument/2006/relationships/hyperlink" Target="https://www.fisp.org/members/national-societies" TargetMode="External" /><pr:Relationship Id="rIdURL474" Type="http://schemas.openxmlformats.org/officeDocument/2006/relationships/hyperlink" Target="https://philosophy-japan.org/" TargetMode="External" /><pr:Relationship Id="rIdURL475" Type="http://schemas.openxmlformats.org/officeDocument/2006/relationships/hyperlink" Target="https://philosophy-japan.org/category/bulletin/" TargetMode="External" /><pr:Relationship Id="rIdURL476" Type="http://schemas.openxmlformats.org/officeDocument/2006/relationships/hyperlink" Target="https://philosophy-japan.org/category/summary/" TargetMode="External" /><pr:Relationship Id="rIdURL477" Type="http://schemas.openxmlformats.org/officeDocument/2006/relationships/hyperlink" Target="https://philosophy-japan.org/category/tetsugaku/" TargetMode="External" /><pr:Relationship Id="rIdURL478" Type="http://schemas.openxmlformats.org/officeDocument/2006/relationships/hyperlink" Target="https://philosophy-japan.org/summary/yakuin_2025-2026/" TargetMode="External" /><pr:Relationship Id="rIdURL479" Type="http://schemas.openxmlformats.org/officeDocument/2006/relationships/hyperlink" Target="https://www.facebook.com/philosophy.japan.org" TargetMode="External" /><pr:Relationship Id="rIdURL480" Type="http://schemas.openxmlformats.org/officeDocument/2006/relationships/hyperlink" Target="https://www.facebook.com/login/?next=https%3A%2F%2Fwww.facebook.com%2Fphilosophy.japan.org" TargetMode="External" /><pr:Relationship Id="rIdURL481" Type="http://schemas.openxmlformats.org/officeDocument/2006/relationships/hyperlink" Target="https://www.fisp.org/members/national-societies" TargetMode="External" /></pr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34E7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6" hidden="0" customWidth="1"/>
    <col min="2" max="2" width="24" hidden="0" customWidth="1"/>
    <col min="3" max="3" width="40" hidden="0" customWidth="1"/>
    <col min="4" max="4" width="42" hidden="0" customWidth="1"/>
    <col min="5" max="5" width="29" hidden="0" customWidth="1"/>
    <col min="6" max="6" width="43" hidden="0" customWidth="1"/>
    <col min="7" max="7" width="44" hidden="0" customWidth="1"/>
    <col min="8" max="8" width="42" hidden="0" customWidth="1"/>
    <col min="9" max="9" width="44" hidden="0" customWidth="1"/>
    <col min="10" max="10" width="42" hidden="0" customWidth="1"/>
    <col min="11" max="11" width="44" hidden="0" customWidth="1"/>
    <col min="12" max="12" width="43" hidden="0" customWidth="1"/>
    <col min="13" max="13" width="43" hidden="0" customWidth="1"/>
    <col min="14" max="14" width="43" hidden="0" customWidth="1"/>
    <col min="15" max="15" width="43" hidden="0" customWidth="1"/>
    <col min="16" max="16" width="43" hidden="0" customWidth="1"/>
    <col min="17" max="17" width="43" hidden="0" customWidth="1"/>
    <col min="18" max="18" width="48" hidden="0" customWidth="1"/>
    <col min="19" max="19" width="36" hidden="0" customWidth="1"/>
    <col min="20" max="20" width="35" hidden="0" customWidth="1"/>
    <col min="21" max="21" width="55" hidden="0" customWidth="1"/>
    <col min="22" max="22" width="55" hidden="0" customWidth="1"/>
    <col min="23" max="23" width="31" hidden="0" customWidth="1"/>
    <col min="24" max="24" width="80" hidden="0" customWidth="1"/>
    <col min="25" max="25" width="21" hidden="0" customWidth="1"/>
  </cols>
  <sheetData>
    <row r="1" ht="85" customHeight="1">
      <c r="A1" s="5" t="str">
        <v>№</v>
      </c>
      <c r="B1" s="5" t="str">
        <v>Страна</v>
      </c>
      <c r="C1" s="5" t="str">
        <v>Национальное объединение философов</v>
      </c>
      <c r="D1" s="5" t="str">
        <v>Название на языке оригинала</v>
      </c>
      <c r="E1" s="5" t="str">
        <v>Тип организации</v>
      </c>
      <c r="F1" s="5" t="str">
        <v>Организационная / институциональная база</v>
      </c>
      <c r="G1" s="5" t="str">
        <v>Официальный сайт</v>
      </c>
      <c r="H1" s="5" t="str">
        <v>Основной журнал сообщества</v>
      </c>
      <c r="I1" s="5" t="str">
        <v>Ссылка на журнал</v>
      </c>
      <c r="J1" s="5" t="str">
        <v>Дополнительный журнал</v>
      </c>
      <c r="K1" s="5" t="str">
        <v>Ссылка на дополнительный журнал</v>
      </c>
      <c r="L1" s="5" t="str">
        <v>Facebook</v>
      </c>
      <c r="M1" s="5" t="str">
        <v>Instagram</v>
      </c>
      <c r="N1" s="5" t="str">
        <v>X / Twitter</v>
      </c>
      <c r="O1" s="5" t="str">
        <v>LinkedIn</v>
      </c>
      <c r="P1" s="5" t="str">
        <v>YouTube</v>
      </c>
      <c r="Q1" s="5" t="str">
        <v>Telegram</v>
      </c>
      <c r="R1" s="5" t="str">
        <v>Другие социальные сети</v>
      </c>
      <c r="S1" s="5" t="str">
        <v>Первый руководитель</v>
      </c>
      <c r="T1" s="5" t="str">
        <v>Должность руководителя</v>
      </c>
      <c r="U1" s="5" t="str">
        <v>Источник информации о руководителе</v>
      </c>
      <c r="V1" s="5" t="str">
        <v>Источник, подтверждающий статус организации</v>
      </c>
      <c r="W1" s="5" t="str">
        <v>Международное членство</v>
      </c>
      <c r="X1" s="5" t="str">
        <v>Примечание</v>
      </c>
      <c r="Y1" s="5" t="str">
        <v>Дата проверки информации</v>
      </c>
    </row>
    <row r="2" ht="61" customHeight="1">
      <c r="A2" s="8" t="n">
        <v>1</v>
      </c>
      <c r="B2" s="3" t="str">
        <v>Австралия; Новая Зеландия; Сингапур</v>
      </c>
      <c r="C2" s="3" t="str">
        <v>Австралазийская философская ассоциация</v>
      </c>
      <c r="D2" s="3" t="str">
        <v>Australasian Association of Philosophy</v>
      </c>
      <c r="E2" s="3" t="str">
        <v>Профессиональная ассоциация</v>
      </c>
      <c r="F2" s="3" t="str">
        <v>Не удалось достоверно установить</v>
      </c>
      <c r="G2" s="7" t="str">
        <v>https://aap.org.au/</v>
      </c>
      <c r="H2" s="3" t="str">
        <v>Australasian Journal of Philosophy</v>
      </c>
      <c r="I2" s="7" t="str">
        <v>https://aap.org.au/AJP</v>
      </c>
      <c r="J2" s="3" t="str">
        <v>Australasian Philosophical Review</v>
      </c>
      <c r="K2" s="7" t="str">
        <v>https://aap.org.au/APR</v>
      </c>
      <c r="L2" s="7" t="str">
        <v>https://www.facebook.com/AustralasianAssociationofPhilosophy</v>
      </c>
      <c r="M2" s="3" t="str">
        <v>Не обнаружен</v>
      </c>
      <c r="N2" s="7" t="str">
        <v>https://twitter.com/AAPhilosophy</v>
      </c>
      <c r="O2" s="3" t="str">
        <v>Не обнаружен</v>
      </c>
      <c r="P2" s="7" t="str">
        <v>https://www.youtube.com/@australasianassociationofp7413/featured</v>
      </c>
      <c r="Q2" s="3" t="str">
        <v>Не обнаружен</v>
      </c>
      <c r="R2" s="7" t="str">
        <v>https://bsky.app/profile/aaphilosophy.bsky.social</v>
      </c>
      <c r="S2" s="3" t="str">
        <v>Jeanette Kennett</v>
      </c>
      <c r="T2" s="3" t="str">
        <v>Председатель совета директоров (Chair of the Board)</v>
      </c>
      <c r="U2" s="7" t="str">
        <v>https://aap.org.au/about/Board</v>
      </c>
      <c r="V2" s="7" t="str">
        <v>https://aap.org.au/about/Board</v>
      </c>
      <c r="W2" s="3" t="str">
        <v>FISP</v>
      </c>
      <c r="X2" s="3" t="str">
        <v>Единая организация записана один раз; FISP отсылает Новую Зеландию и Сингапур к Австралии. Высший орган управления — Board; его председатель Jeanette Kennett. John Sutton — академический President, Tracy Bowell — CEO; эти должности не смешаны. Регион для сводки — Австралия. Другие социальные сети: Bluesky.</v>
      </c>
      <c r="Y2" s="6" t="n">
        <v>46300</v>
      </c>
    </row>
    <row r="3" ht="48" customHeight="1">
      <c r="A3" s="8" t="n">
        <v>2</v>
      </c>
      <c r="B3" s="3" t="str">
        <v>Австрия</v>
      </c>
      <c r="C3" s="3" t="str">
        <v>Австрийское философское общество</v>
      </c>
      <c r="D3" s="3" t="str">
        <v>Österreichische Gesellschaft für Philosophie</v>
      </c>
      <c r="E3" s="3" t="str">
        <v>Профессиональное общество</v>
      </c>
      <c r="F3" s="3" t="str">
        <v>Самостоятельное общество; контактный адрес при Институте философии Университета Граца</v>
      </c>
      <c r="G3" s="7" t="str">
        <v>https://oegp.org/</v>
      </c>
      <c r="H3" s="3" t="str">
        <v>Не обнаружен</v>
      </c>
      <c r="I3" s="3" t="str">
        <v>Не обнаружен</v>
      </c>
      <c r="J3" s="3" t="str">
        <v>Не обнаружен</v>
      </c>
      <c r="K3" s="3" t="str">
        <v>Не обнаружен</v>
      </c>
      <c r="L3" s="3" t="str">
        <v>Не обнаружен</v>
      </c>
      <c r="M3" s="3" t="str">
        <v>Не обнаружен</v>
      </c>
      <c r="N3" s="3" t="str">
        <v>Не обнаружен</v>
      </c>
      <c r="O3" s="3" t="str">
        <v>Не обнаружен</v>
      </c>
      <c r="P3" s="3" t="str">
        <v>Не обнаружен</v>
      </c>
      <c r="Q3" s="3" t="str">
        <v>Не обнаружен</v>
      </c>
      <c r="R3" s="3" t="str">
        <v>Не обнаружен</v>
      </c>
      <c r="S3" s="3" t="str">
        <v>Sophie Veigl; Narzissa Helfritzsch</v>
      </c>
      <c r="T3" s="3" t="str">
        <v>Сопрезиденты (Co-Präsidentin; Co-Präsident*in / Generalsekretär*in)</v>
      </c>
      <c r="U3" s="7" t="str">
        <v>https://oegp.org/praesidium/</v>
      </c>
      <c r="V3" s="7" t="str">
        <v>https://oegp.org/</v>
      </c>
      <c r="W3" s="3" t="str">
        <v>FISP</v>
      </c>
      <c r="X3" s="3" t="str">
        <v>Коллегиальное первое руководство:два сопрезидента. Срок 2026–2029, избраны 03.06.2026. На сайте также используется написание Œsterreichische.</v>
      </c>
      <c r="Y3" s="6" t="n">
        <v>46300</v>
      </c>
    </row>
    <row r="4" ht="48" customHeight="1">
      <c r="A4" s="8" t="n">
        <v>3</v>
      </c>
      <c r="B4" s="3" t="str">
        <v>Аргентина</v>
      </c>
      <c r="C4" s="3" t="str">
        <v>Аргентинская философская ассоциация</v>
      </c>
      <c r="D4" s="3" t="str">
        <v>Asociación Filosófica Argentina</v>
      </c>
      <c r="E4" s="3" t="str">
        <v>Профессиональная ассоциация</v>
      </c>
      <c r="F4" s="3" t="str">
        <v>Не удалось достоверно установить</v>
      </c>
      <c r="G4" s="7" t="str">
        <v>https://afra.org.ar/</v>
      </c>
      <c r="H4" s="3" t="str">
        <v>Не обнаружен</v>
      </c>
      <c r="I4" s="3" t="str">
        <v>Не обнаружен</v>
      </c>
      <c r="J4" s="3" t="str">
        <v>Не обнаружен</v>
      </c>
      <c r="K4" s="3" t="str">
        <v>Не обнаружен</v>
      </c>
      <c r="L4" s="7" t="str">
        <v>https://www.facebook.com/afra.filosofia</v>
      </c>
      <c r="M4" s="3" t="str">
        <v>Не обнаружен</v>
      </c>
      <c r="N4" s="3" t="str">
        <v>Не обнаружен</v>
      </c>
      <c r="O4" s="3" t="str">
        <v>Не обнаружен</v>
      </c>
      <c r="P4" s="3" t="str">
        <v>Не обнаружен</v>
      </c>
      <c r="Q4" s="3" t="str">
        <v>Не обнаружен</v>
      </c>
      <c r="R4" s="3" t="str">
        <v>Не обнаружен</v>
      </c>
      <c r="S4" s="3" t="str">
        <v>Manuel Berrón</v>
      </c>
      <c r="T4" s="3" t="str">
        <v>Президент (Presidente)</v>
      </c>
      <c r="U4" s="7" t="str">
        <v>https://afra.org.ar/?page_id=89</v>
      </c>
      <c r="V4" s="7" t="str">
        <v>https://afra.org.ar/</v>
      </c>
      <c r="W4" s="3" t="str">
        <v>FISP</v>
      </c>
      <c r="X4" s="3" t="str">
        <v>Правление избрано 13.09.2024 на 2024–2026 годы: Организует национальные философские конгрессы. Дополнительные подтверждения приведены на листе «Источники».</v>
      </c>
      <c r="Y4" s="6" t="n">
        <v>46300</v>
      </c>
    </row>
    <row r="5" ht="74" customHeight="1">
      <c r="A5" s="8" t="n">
        <v>4</v>
      </c>
      <c r="B5" s="3" t="str">
        <v>Аргентина</v>
      </c>
      <c r="C5" s="3" t="str">
        <v>Аргентинское философское общество</v>
      </c>
      <c r="D5" s="3" t="str">
        <v>Sociedad Argentina de Filosofía</v>
      </c>
      <c r="E5" s="3" t="str">
        <v>Национальное философское общество</v>
      </c>
      <c r="F5" s="3" t="str">
        <v>Самостоятельное общество; национальные философские конгрессы</v>
      </c>
      <c r="G5" s="7" t="str">
        <v>https://soarfil.wordpress.com/</v>
      </c>
      <c r="H5" s="3" t="str">
        <v>Не обнаружен</v>
      </c>
      <c r="I5" s="3" t="str">
        <v>Не обнаружен</v>
      </c>
      <c r="J5" s="3" t="str">
        <v>Не обнаружен</v>
      </c>
      <c r="K5" s="3" t="str">
        <v>Не обнаружен</v>
      </c>
      <c r="L5" s="3" t="str">
        <v>Не обнаружен</v>
      </c>
      <c r="M5" s="3" t="str">
        <v>Не обнаружен</v>
      </c>
      <c r="N5" s="3" t="str">
        <v>Не обнаружен</v>
      </c>
      <c r="O5" s="3" t="str">
        <v>Не обнаружен</v>
      </c>
      <c r="P5" s="3" t="str">
        <v>Не обнаружен</v>
      </c>
      <c r="Q5" s="3" t="str">
        <v>Не обнаружен</v>
      </c>
      <c r="R5" s="3" t="str">
        <v>Не обнаружен</v>
      </c>
      <c r="S5" s="9" t="str">
        <v>Не удалось достоверно установить</v>
      </c>
      <c r="T5" s="9" t="str">
        <v>Не удалось достоверно установить</v>
      </c>
      <c r="U5" s="3" t="str">
        <v>Не обнаружен</v>
      </c>
      <c r="V5" s="7" t="str">
        <v>https://www.fisp.org/members/national-societies</v>
      </c>
      <c r="W5" s="3" t="str">
        <v>FISP</v>
      </c>
      <c r="X5" s="3" t="str">
        <v>Отдельная организация от Asociación Filosófica Argentina (AFRA), обе указаны среди национальных членов FISP. Найден собственный сайт WordPress; старый адрес sociedad-filosofia.com не загрузился. Последние выборы, описанные собственным сайтом, относятся к 2016 (Héctor Jorge Padrón); их результат не представлен как актуальное руководство. Историческая Revista de la Sociedad Argentina de Filosofía не внесена как текущий журнал.</v>
      </c>
      <c r="Y5" s="6" t="n">
        <v>46300</v>
      </c>
    </row>
    <row r="6" ht="48" customHeight="1">
      <c r="A6" s="8" t="n">
        <v>5</v>
      </c>
      <c r="B6" s="3" t="str">
        <v>Армения</v>
      </c>
      <c r="C6" s="3" t="str">
        <v>Армянская философская академия</v>
      </c>
      <c r="D6" s="3" t="str">
        <v>Armenian Philosophical Academy</v>
      </c>
      <c r="E6" s="3" t="str">
        <v>Академическое общество</v>
      </c>
      <c r="F6" s="3" t="str">
        <v>Не удалось достоверно установить</v>
      </c>
      <c r="G6" s="7" t="str">
        <v>https://apha.am/</v>
      </c>
      <c r="H6" s="3" t="str">
        <v>Не обнаружен</v>
      </c>
      <c r="I6" s="3" t="str">
        <v>Не обнаружен</v>
      </c>
      <c r="J6" s="3" t="str">
        <v>Не обнаружен</v>
      </c>
      <c r="K6" s="3" t="str">
        <v>Не обнаружен</v>
      </c>
      <c r="L6" s="3" t="str">
        <v>Не обнаружен</v>
      </c>
      <c r="M6" s="3" t="str">
        <v>Не обнаружен</v>
      </c>
      <c r="N6" s="3" t="str">
        <v>Не обнаружен</v>
      </c>
      <c r="O6" s="3" t="str">
        <v>Не обнаружен</v>
      </c>
      <c r="P6" s="3" t="str">
        <v>Не обнаружен</v>
      </c>
      <c r="Q6" s="3" t="str">
        <v>Не обнаружен</v>
      </c>
      <c r="R6" s="3" t="str">
        <v>Не обнаружен</v>
      </c>
      <c r="S6" s="9" t="str">
        <v>Не удалось достоверно установить</v>
      </c>
      <c r="T6" s="9" t="str">
        <v>Не удалось достоверно установить</v>
      </c>
      <c r="U6" s="3" t="str">
        <v>Не обнаружен</v>
      </c>
      <c r="V6" s="7" t="str">
        <v>https://www.fisp.org/members/national-societies</v>
      </c>
      <c r="W6" s="3" t="str">
        <v>FISP</v>
      </c>
      <c r="X6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6" s="6" t="n">
        <v>46300</v>
      </c>
    </row>
    <row r="7" ht="61" customHeight="1">
      <c r="A7" s="8" t="n">
        <v>6</v>
      </c>
      <c r="B7" s="3" t="str">
        <v>Бангладеш</v>
      </c>
      <c r="C7" s="3" t="str">
        <v>Бангладешское философское общество</v>
      </c>
      <c r="D7" s="3" t="str">
        <v>Bangladesh Philosophical Society</v>
      </c>
      <c r="E7" s="3" t="str">
        <v>Национальное философское общество</v>
      </c>
      <c r="F7" s="3" t="str">
        <v>Самостоятельное профессиональное общество; мероприятия совместно с университетами Бангладеш.</v>
      </c>
      <c r="G7" s="3" t="str">
        <v>Не обнаружен</v>
      </c>
      <c r="H7" s="3" t="str">
        <v>Не обнаружен</v>
      </c>
      <c r="I7" s="3" t="str">
        <v>Не обнаружен</v>
      </c>
      <c r="J7" s="3" t="str">
        <v>Не обнаружен</v>
      </c>
      <c r="K7" s="3" t="str">
        <v>Не обнаружен</v>
      </c>
      <c r="L7" s="3" t="str">
        <v>Не обнаружен</v>
      </c>
      <c r="M7" s="3" t="str">
        <v>Не обнаружен</v>
      </c>
      <c r="N7" s="3" t="str">
        <v>Не обнаружен</v>
      </c>
      <c r="O7" s="3" t="str">
        <v>Не обнаружен</v>
      </c>
      <c r="P7" s="3" t="str">
        <v>Не обнаружен</v>
      </c>
      <c r="Q7" s="3" t="str">
        <v>Не обнаружен</v>
      </c>
      <c r="R7" s="3" t="str">
        <v>Не обнаружен</v>
      </c>
      <c r="S7" s="9" t="str">
        <v>Не удалось достоверно установить</v>
      </c>
      <c r="T7" s="9" t="str">
        <v>Не удалось достоверно установить</v>
      </c>
      <c r="U7" s="3" t="str">
        <v>Не обнаружен</v>
      </c>
      <c r="V7" s="7" t="str">
        <v>https://www.bssnews.net/news-flash/410663</v>
      </c>
      <c r="W7" s="3" t="str">
        <v>Не обнаружено</v>
      </c>
      <c r="X7" s="3" t="str">
        <v>Официальное название приведено по английскому сообщению государственного агентства BSS; бенгальская форма требует сверки с уставом. Действующая организация подтверждена государственным агентством BSS в августе 2026. На сайте Даккского университета указано президентство Shah Kawthar Mustafa Abululayee только за 2023–2025; на 2026 не перенесено.</v>
      </c>
      <c r="Y7" s="6" t="n">
        <v>46300</v>
      </c>
    </row>
    <row r="8" ht="61" customHeight="1">
      <c r="A8" s="8" t="n">
        <v>7</v>
      </c>
      <c r="B8" s="3" t="str">
        <v>Беларусь</v>
      </c>
      <c r="C8" s="3" t="str">
        <v>Белорусское философское общество</v>
      </c>
      <c r="D8" s="3" t="str">
        <v>Республиканское общественное объединение «Белорусское философское общество»</v>
      </c>
      <c r="E8" s="3" t="str">
        <v>Национальное общественное объединение</v>
      </c>
      <c r="F8" s="3" t="str">
        <v>Партнерская и информационная база — Институт философии НАН Беларуси; самостоятельная общественная организация</v>
      </c>
      <c r="G8" s="7" t="str">
        <v>https://philosophy.by/en/community/society/</v>
      </c>
      <c r="H8" s="3" t="str">
        <v>Не обнаружен</v>
      </c>
      <c r="I8" s="3" t="str">
        <v>Не обнаружен</v>
      </c>
      <c r="J8" s="3" t="str">
        <v>Не обнаружен</v>
      </c>
      <c r="K8" s="3" t="str">
        <v>Не обнаружен</v>
      </c>
      <c r="L8" s="3" t="str">
        <v>Не обнаружен</v>
      </c>
      <c r="M8" s="3" t="str">
        <v>Не обнаружен</v>
      </c>
      <c r="N8" s="3" t="str">
        <v>Не обнаружен</v>
      </c>
      <c r="O8" s="3" t="str">
        <v>Не обнаружен</v>
      </c>
      <c r="P8" s="3" t="str">
        <v>Не обнаружен</v>
      </c>
      <c r="Q8" s="3" t="str">
        <v>Не обнаружен</v>
      </c>
      <c r="R8" s="3" t="str">
        <v>Не обнаружен</v>
      </c>
      <c r="S8" s="9" t="str">
        <v>Не удалось достоверно установить</v>
      </c>
      <c r="T8" s="9" t="str">
        <v>Не удалось достоверно установить</v>
      </c>
      <c r="U8" s="3" t="str">
        <v>Не обнаружен</v>
      </c>
      <c r="V8" s="7" t="str">
        <v>https://philosophy.by/en/community/society/</v>
      </c>
      <c r="W8" s="3" t="str">
        <v>Не обнаружено</v>
      </c>
      <c r="X8" s="3" t="str">
        <v>Официальный сайт базового Института прямо называет БФО основным объединением философов страны; взносы и заседания за 2026 год подтверждают деятельность. Анатолий Лазаревич в сообщении 19.03.2026 — заместитель председателя, поэтому не указан первым руководителем. Членство Института в FISP не перенесено на БФО.</v>
      </c>
      <c r="Y8" s="6" t="n">
        <v>46300</v>
      </c>
    </row>
    <row r="9" ht="48" customHeight="1">
      <c r="A9" s="8" t="n">
        <v>8</v>
      </c>
      <c r="B9" s="3" t="str">
        <v>Бельгия</v>
      </c>
      <c r="C9" s="3" t="str">
        <v>Бельгийское философское общество</v>
      </c>
      <c r="D9" s="3" t="str">
        <v>Société belge de philosophie</v>
      </c>
      <c r="E9" s="3" t="str">
        <v>Национальное научное общество</v>
      </c>
      <c r="F9" s="3" t="str">
        <v>Не удалось достоверно установить</v>
      </c>
      <c r="G9" s="7" t="str">
        <v>https://www.sobelphi.be/</v>
      </c>
      <c r="H9" s="3" t="str">
        <v>Не обнаружен</v>
      </c>
      <c r="I9" s="3" t="str">
        <v>Не обнаружен</v>
      </c>
      <c r="J9" s="3" t="str">
        <v>Не обнаружен</v>
      </c>
      <c r="K9" s="3" t="str">
        <v>Не обнаружен</v>
      </c>
      <c r="L9" s="3" t="str">
        <v>Не обнаружен</v>
      </c>
      <c r="M9" s="3" t="str">
        <v>Не обнаружен</v>
      </c>
      <c r="N9" s="3" t="str">
        <v>Не обнаружен</v>
      </c>
      <c r="O9" s="3" t="str">
        <v>Не обнаружен</v>
      </c>
      <c r="P9" s="3" t="str">
        <v>Не обнаружен</v>
      </c>
      <c r="Q9" s="3" t="str">
        <v>Не обнаружен</v>
      </c>
      <c r="R9" s="3" t="str">
        <v>Не обнаружен</v>
      </c>
      <c r="S9" s="9" t="str">
        <v>Не удалось достоверно установить</v>
      </c>
      <c r="T9" s="9" t="str">
        <v>Не удалось достоверно установить</v>
      </c>
      <c r="U9" s="3" t="str">
        <v>Не обнаружен</v>
      </c>
      <c r="V9" s="7" t="str">
        <v>https://asplf.org/liste-des-societes/</v>
      </c>
      <c r="W9" s="3" t="str">
        <v>ASPLF (Ассоциация философских обществ французского языка)</v>
      </c>
      <c r="X9" s="3" t="str">
        <v>ASPLF подтверждает членство; академический CTHS подтверждает широкое научное общество. Не смешано с региональной Société philosophique de Louvain. Доступ к официальному сайту: При проверке не открылся; HTTP 502.</v>
      </c>
      <c r="Y9" s="6" t="n">
        <v>46300</v>
      </c>
    </row>
    <row r="10" ht="61" customHeight="1">
      <c r="A10" s="8" t="n">
        <v>9</v>
      </c>
      <c r="B10" s="3" t="str">
        <v>Бенин</v>
      </c>
      <c r="C10" s="3" t="str">
        <v>Бенинское философское общество</v>
      </c>
      <c r="D10" s="3" t="str">
        <v>Société Béninoise de Philosophie</v>
      </c>
      <c r="E10" s="3" t="str">
        <v>Национальное научное общество</v>
      </c>
      <c r="F10" s="3" t="str">
        <v>Не удалось достоверно установить</v>
      </c>
      <c r="G10" s="3" t="str">
        <v>Не обнаружен</v>
      </c>
      <c r="H10" s="3" t="str">
        <v>Revue Béninoise de Philosophie et de Sciences Humaines</v>
      </c>
      <c r="I10" s="7" t="str">
        <v>https://www.bec.uac.bj/uploads/publication/ea52179f022d46342eb43f3a15d39e9e.pdf</v>
      </c>
      <c r="J10" s="3" t="str">
        <v>Не обнаружен</v>
      </c>
      <c r="K10" s="3" t="str">
        <v>Не обнаружен</v>
      </c>
      <c r="L10" s="3" t="str">
        <v>Не обнаружен</v>
      </c>
      <c r="M10" s="3" t="str">
        <v>Не обнаружен</v>
      </c>
      <c r="N10" s="3" t="str">
        <v>Не обнаружен</v>
      </c>
      <c r="O10" s="3" t="str">
        <v>Не обнаружен</v>
      </c>
      <c r="P10" s="3" t="str">
        <v>Не обнаружен</v>
      </c>
      <c r="Q10" s="3" t="str">
        <v>Не обнаружен</v>
      </c>
      <c r="R10" s="3" t="str">
        <v>Не обнаружен</v>
      </c>
      <c r="S10" s="9" t="str">
        <v>Не удалось достоверно установить</v>
      </c>
      <c r="T10" s="9" t="str">
        <v>Не удалось достоверно установить</v>
      </c>
      <c r="U10" s="3" t="str">
        <v>Не обнаружен</v>
      </c>
      <c r="V10" s="7" t="str">
        <v>https://asplf.org/liste-des-societes/</v>
      </c>
      <c r="W10" s="3" t="str">
        <v>ASPLF (Ассоциация философских обществ французского языка)</v>
      </c>
      <c r="X10" s="3" t="str">
        <v>Связь журнала So.Bé.Phie подтверждена публикацией на официальном сервере Université d’Abomey-Calavi. Современный собственный сайт и руководство не подтверждены. Издатель подтвержден отдельным выпуском на университетском сервере; актуальная периодичность журнала в 2026 году не установлена.</v>
      </c>
      <c r="Y10" s="6" t="n">
        <v>46300</v>
      </c>
    </row>
    <row r="11" ht="48" customHeight="1">
      <c r="A11" s="8" t="n">
        <v>10</v>
      </c>
      <c r="B11" s="3" t="str">
        <v>Болгария</v>
      </c>
      <c r="C11" s="3" t="str">
        <v>Болгарское философское общество</v>
      </c>
      <c r="D11" s="3" t="str">
        <v>БЪЛГАРСКО ФИЛОСОФСКО ОБЩЕСТВО</v>
      </c>
      <c r="E11" s="3" t="str">
        <v>Профессиональное общество</v>
      </c>
      <c r="F11" s="3" t="str">
        <v>Не удалось достоверно установить</v>
      </c>
      <c r="G11" s="7" t="str">
        <v>https://bulgarianphilosophicalsociety.wordpress.com/</v>
      </c>
      <c r="H11" s="3" t="str">
        <v>Не обнаружен</v>
      </c>
      <c r="I11" s="3" t="str">
        <v>Не обнаружен</v>
      </c>
      <c r="J11" s="3" t="str">
        <v>Не обнаружен</v>
      </c>
      <c r="K11" s="3" t="str">
        <v>Не обнаружен</v>
      </c>
      <c r="L11" s="3" t="str">
        <v>Не обнаружен</v>
      </c>
      <c r="M11" s="3" t="str">
        <v>Не обнаружен</v>
      </c>
      <c r="N11" s="3" t="str">
        <v>Не обнаружен</v>
      </c>
      <c r="O11" s="3" t="str">
        <v>Не обнаружен</v>
      </c>
      <c r="P11" s="3" t="str">
        <v>Не обнаружен</v>
      </c>
      <c r="Q11" s="3" t="str">
        <v>Не обнаружен</v>
      </c>
      <c r="R11" s="3" t="str">
        <v>Не обнаружен</v>
      </c>
      <c r="S11" s="9" t="str">
        <v>Не удалось достоверно установить</v>
      </c>
      <c r="T11" s="9" t="str">
        <v>Не удалось достоверно установить</v>
      </c>
      <c r="U11" s="3" t="str">
        <v>Не обнаружен</v>
      </c>
      <c r="V11" s="7" t="str">
        <v>https://bulgarianphilosophicalsociety.wordpress.com/</v>
      </c>
      <c r="W11" s="3" t="str">
        <v>FISP</v>
      </c>
      <c r="X11" s="3" t="str">
        <v>Оригинальное название взято из заголовка собственного сайта. Последняя видимая публикация на главной странице — 2022; бюллетень 2020 не указан как действующий журнал.</v>
      </c>
      <c r="Y11" s="6" t="n">
        <v>46300</v>
      </c>
    </row>
    <row r="12" ht="61" customHeight="1">
      <c r="A12" s="8" t="n">
        <v>11</v>
      </c>
      <c r="B12" s="3" t="str">
        <v>Босния и Герцеговина</v>
      </c>
      <c r="C12" s="3" t="str">
        <v>Философское общество «Theoria»</v>
      </c>
      <c r="D12" s="3" t="str">
        <v>Filozofsko društvo “Theoria”</v>
      </c>
      <c r="E12" s="3" t="str">
        <v>Философское научное общество</v>
      </c>
      <c r="F12" s="3" t="str">
        <v>Самостоятельное общество в Сараево; работа с философами Боснии и Герцеговины.</v>
      </c>
      <c r="G12" s="7" t="str">
        <v>https://www.fdt.ba/</v>
      </c>
      <c r="H12" s="3" t="str">
        <v>Theoria: časopis za filozofiju</v>
      </c>
      <c r="I12" s="7" t="str">
        <v>https://theoria.fdt.ba/index.php/journal/about</v>
      </c>
      <c r="J12" s="3" t="str">
        <v>Не обнаружен</v>
      </c>
      <c r="K12" s="3" t="str">
        <v>Не обнаружен</v>
      </c>
      <c r="L12" s="3" t="str">
        <v>Не обнаружен</v>
      </c>
      <c r="M12" s="3" t="str">
        <v>Не обнаружен</v>
      </c>
      <c r="N12" s="3" t="str">
        <v>Не обнаружен</v>
      </c>
      <c r="O12" s="3" t="str">
        <v>Не обнаружен</v>
      </c>
      <c r="P12" s="3" t="str">
        <v>Не обнаружен</v>
      </c>
      <c r="Q12" s="3" t="str">
        <v>Не обнаружен</v>
      </c>
      <c r="R12" s="3" t="str">
        <v>Не обнаружен</v>
      </c>
      <c r="S12" s="9" t="str">
        <v>Не удалось достоверно установить</v>
      </c>
      <c r="T12" s="9" t="str">
        <v>Не удалось достоверно установить</v>
      </c>
      <c r="U12" s="3" t="str">
        <v>Не обнаружен</v>
      </c>
      <c r="V12" s="7" t="str">
        <v>https://www.fdt.ba/o-nama/</v>
      </c>
      <c r="W12" s="3" t="str">
        <v>Не обнаружено</v>
      </c>
      <c r="X12" s="3" t="str">
        <v>Исключение:широкое философское общество с заявленным охватом культурного пространства Боснии и Герцеговины. Формальный статус единого национального представителя не установлен. Страница руководства обновлена в 2021:Samir Arnautović — председатель общества, Damir Marić — председатель собрания; актуальность на 2026 не подтверждена.</v>
      </c>
      <c r="Y12" s="6" t="n">
        <v>46300</v>
      </c>
    </row>
    <row r="13" ht="74" customHeight="1">
      <c r="A13" s="8" t="n">
        <v>12</v>
      </c>
      <c r="B13" s="3" t="str">
        <v>Бразилия</v>
      </c>
      <c r="C13" s="3" t="str">
        <v>Бразильская академия философии</v>
      </c>
      <c r="D13" s="3" t="str">
        <v>Academia Brasileira de Filosofia</v>
      </c>
      <c r="E13" s="3" t="str">
        <v>Национальная негосударственная философская академия</v>
      </c>
      <c r="F13" s="3" t="str">
        <v>Самостоятельная некоммерческая академия философов; Рио-де-Жанейро</v>
      </c>
      <c r="G13" s="7" t="str">
        <v>https://www.academia-de-filosofia.org.br/</v>
      </c>
      <c r="H13" s="3" t="str">
        <v>Не обнаружен</v>
      </c>
      <c r="I13" s="3" t="str">
        <v>Не обнаружен</v>
      </c>
      <c r="J13" s="3" t="str">
        <v>Не обнаружен</v>
      </c>
      <c r="K13" s="3" t="str">
        <v>Не обнаружен</v>
      </c>
      <c r="L13" s="3" t="str">
        <v>Не обнаружен</v>
      </c>
      <c r="M13" s="3" t="str">
        <v>Не обнаружен</v>
      </c>
      <c r="N13" s="3" t="str">
        <v>Не обнаружен</v>
      </c>
      <c r="O13" s="3" t="str">
        <v>Не обнаружен</v>
      </c>
      <c r="P13" s="3" t="str">
        <v>Не обнаружен</v>
      </c>
      <c r="Q13" s="3" t="str">
        <v>Не обнаружен</v>
      </c>
      <c r="R13" s="3" t="str">
        <v>Не обнаружен</v>
      </c>
      <c r="S13" s="3" t="str">
        <v>Edgard Leite</v>
      </c>
      <c r="T13" s="3" t="str">
        <v>Президент (Presidente)</v>
      </c>
      <c r="U13" s="7" t="str">
        <v>https://www.academia-de-filosofia.org.br/academia</v>
      </c>
      <c r="V13" s="7" t="str">
        <v>https://www.academia-de-filosofia.org.br/academia</v>
      </c>
      <c r="W13" s="3" t="str">
        <v>FISP</v>
      </c>
      <c r="X13" s="3" t="str">
        <v>Другая форма национального объединения, чем ANPOF:академия избираемых философов и исследователей; ANPOF объединяет программы последипломного философского образования. Действующее правление 2025–2028; Carlos Nejar — почетный президент, не первый исполнительный руководитель. Адрес в FISP filosofia.org.br устарел; текущий официальный домен найден отдельно.</v>
      </c>
      <c r="Y13" s="6" t="n">
        <v>46300</v>
      </c>
    </row>
    <row r="14" ht="48" customHeight="1">
      <c r="A14" s="8" t="n">
        <v>13</v>
      </c>
      <c r="B14" s="3" t="str">
        <v>Бразилия</v>
      </c>
      <c r="C14" s="3" t="str">
        <v>Национальная ассоциация последипломного образования по философии</v>
      </c>
      <c r="D14" s="3" t="str">
        <v>Associação Nacional de Pós-Graduação em Filosofia</v>
      </c>
      <c r="E14" s="3" t="str">
        <v>Федеративная профессиональная ассоциация</v>
      </c>
      <c r="F14" s="3" t="str">
        <v>Объединение программ последипломного образования по философии Бразилии</v>
      </c>
      <c r="G14" s="7" t="str">
        <v>https://www.anpof.org/</v>
      </c>
      <c r="H14" s="3" t="str">
        <v>Не обнаружен</v>
      </c>
      <c r="I14" s="3" t="str">
        <v>Не обнаружен</v>
      </c>
      <c r="J14" s="3" t="str">
        <v>Не обнаружен</v>
      </c>
      <c r="K14" s="3" t="str">
        <v>Не обнаружен</v>
      </c>
      <c r="L14" s="3" t="str">
        <v>Не обнаружен</v>
      </c>
      <c r="M14" s="3" t="str">
        <v>Не обнаружен</v>
      </c>
      <c r="N14" s="3" t="str">
        <v>Не обнаружен</v>
      </c>
      <c r="O14" s="3" t="str">
        <v>Не обнаружен</v>
      </c>
      <c r="P14" s="3" t="str">
        <v>Не обнаружен</v>
      </c>
      <c r="Q14" s="3" t="str">
        <v>Не обнаружен</v>
      </c>
      <c r="R14" s="3" t="str">
        <v>Не обнаружен</v>
      </c>
      <c r="S14" s="3" t="str">
        <v>Janyne Sattler</v>
      </c>
      <c r="T14" s="3" t="str">
        <v>Президент (Presidente)</v>
      </c>
      <c r="U14" s="7" t="str">
        <v>https://www.anpof.org/anpof/diretoria</v>
      </c>
      <c r="V14" s="7" t="str">
        <v>https://www.anpof.org/</v>
      </c>
      <c r="W14" s="3" t="str">
        <v>FISP</v>
      </c>
      <c r="X14" s="3" t="str">
        <v>Срок правления 2025–2026. Представляет академическую философию через программы магистратуры и докторантуры; отличается от персональной Академии философии.</v>
      </c>
      <c r="Y14" s="6" t="n">
        <v>46300</v>
      </c>
    </row>
    <row r="15" ht="100" customHeight="1">
      <c r="A15" s="8" t="n">
        <v>14</v>
      </c>
      <c r="B15" s="3" t="str">
        <v>Великобритания</v>
      </c>
      <c r="C15" s="3" t="str">
        <v>Аристотелевское общество</v>
      </c>
      <c r="D15" s="3" t="str">
        <v>The Aristotelian Society</v>
      </c>
      <c r="E15" s="3" t="str">
        <v>Национальное научное философское общество</v>
      </c>
      <c r="F15" s="3" t="str">
        <v>Независимое зарегистрированное благотворительное членское общество; Лондон</v>
      </c>
      <c r="G15" s="7" t="str">
        <v>https://www.aristoteliansociety.org.uk/</v>
      </c>
      <c r="H15" s="3" t="str">
        <v>Proceedings of the Aristotelian Society</v>
      </c>
      <c r="I15" s="7" t="str">
        <v>https://www.aristoteliansociety.org.uk/the-proceedings/the-journal/</v>
      </c>
      <c r="J15" s="3" t="str">
        <v>Aristotelian Society Supplementary Volume</v>
      </c>
      <c r="K15" s="7" t="str">
        <v>https://www.aristoteliansociety.org.uk/the-joint-session/</v>
      </c>
      <c r="L15" s="7" t="str">
        <v>https://www.facebook.com/aristotelian.society/</v>
      </c>
      <c r="M15" s="3" t="str">
        <v>Не обнаружен</v>
      </c>
      <c r="N15" s="7" t="str">
        <v>https://twitter.com/Aristotweets</v>
      </c>
      <c r="O15" s="3" t="str">
        <v>Не обнаружен</v>
      </c>
      <c r="P15" s="3" t="str">
        <v>Не обнаружен</v>
      </c>
      <c r="Q15" s="3" t="str">
        <v>Не обнаружен</v>
      </c>
      <c r="R15" s="7" t="str">
        <v>https://bsky.app/profile/aristotsoc.bsky.social</v>
      </c>
      <c r="S15" s="9" t="str">
        <v>Не удалось достоверно установить</v>
      </c>
      <c r="T15" s="9" t="str">
        <v>Не удалось достоверно установить</v>
      </c>
      <c r="U15" s="7" t="str">
        <v>https://www.aristoteliansociety.org.uk/the-proceedings/the-2026-27-programme/</v>
      </c>
      <c r="V15" s="7" t="str">
        <v>https://www.aristoteliansociety.org.uk/about/</v>
      </c>
      <c r="W15" s="3" t="str">
        <v>Не обнаружено</v>
      </c>
      <c r="X15" s="3" t="str">
        <v>Несмотря на название, посвящено всей философии, а не изучению одного Аристотеля. Проводит общепрофильные научные заседания и Joint Session с Mind Association. BPA представляет профессиональные интересы, это общество организует научное общение и публикации. Alexander Bird открыл президентскую сессию 2026–2027 28.09.2026; на странице комитета пока Lucy O’Brien 2025–2026. Michael Hannon указан Honorary Director. До уточнения соотношения высшей и административной должностей первый руководитель не выбран. Другие социальные сети: Bluesky.</v>
      </c>
      <c r="Y15" s="6" t="n">
        <v>46300</v>
      </c>
    </row>
    <row r="16" ht="61" customHeight="1">
      <c r="A16" s="8" t="n">
        <v>15</v>
      </c>
      <c r="B16" s="3" t="str">
        <v>Великобритания</v>
      </c>
      <c r="C16" s="3" t="str">
        <v>Британская философская ассоциация</v>
      </c>
      <c r="D16" s="3" t="str">
        <v>British Philosophical Association</v>
      </c>
      <c r="E16" s="3" t="str">
        <v>Профессиональная ассоциация</v>
      </c>
      <c r="F16" s="3" t="str">
        <v>Независимая национальная ассоциация</v>
      </c>
      <c r="G16" s="7" t="str">
        <v>https://bpa.ac.uk/</v>
      </c>
      <c r="H16" s="3" t="str">
        <v>Не обнаружен</v>
      </c>
      <c r="I16" s="3" t="str">
        <v>Не обнаружен</v>
      </c>
      <c r="J16" s="3" t="str">
        <v>Не обнаружен</v>
      </c>
      <c r="K16" s="3" t="str">
        <v>Не обнаружен</v>
      </c>
      <c r="L16" s="3" t="str">
        <v>Не обнаружен</v>
      </c>
      <c r="M16" s="3" t="str">
        <v>Не обнаружен</v>
      </c>
      <c r="N16" s="7" t="str">
        <v>https://twitter.com/BritishPhiloso1</v>
      </c>
      <c r="O16" s="3" t="str">
        <v>Не обнаружен</v>
      </c>
      <c r="P16" s="3" t="str">
        <v>Не обнаружен</v>
      </c>
      <c r="Q16" s="3" t="str">
        <v>Не обнаружен</v>
      </c>
      <c r="R16" s="3" t="str">
        <v>Не обнаружен</v>
      </c>
      <c r="S16" s="3" t="str">
        <v>Fiona Macpherson</v>
      </c>
      <c r="T16" s="3" t="str">
        <v>Президент (President)</v>
      </c>
      <c r="U16" s="7" t="str">
        <v>https://bpa.ac.uk/prizes2026/</v>
      </c>
      <c r="V16" s="7" t="str">
        <v>https://bpa.ac.uk/join/</v>
      </c>
      <c r="W16" s="3" t="str">
        <v>FISP</v>
      </c>
      <c r="X16" s="3" t="str">
        <v>Руководство подтверждено сообщением BPA Prizes 2026 и страницей Contact. Представляет интересы профессиональных философов Великобритании. The Aristotelian Society отдельно включено как широкопрофильное научное членское общество; BPA выполняет профессиональную представительскую функцию.</v>
      </c>
      <c r="Y16" s="6" t="n">
        <v>46300</v>
      </c>
    </row>
    <row r="17" ht="48" customHeight="1">
      <c r="A17" s="8" t="n">
        <v>16</v>
      </c>
      <c r="B17" s="3" t="str">
        <v>Венгрия</v>
      </c>
      <c r="C17" s="3" t="str">
        <v>Венгерское философское общество</v>
      </c>
      <c r="D17" s="3" t="str">
        <v>Magyar Filozófiai Társaság</v>
      </c>
      <c r="E17" s="3" t="str">
        <v>Профессиональное общество</v>
      </c>
      <c r="F17" s="3" t="str">
        <v>Не удалось достоверно установить</v>
      </c>
      <c r="G17" s="7" t="str">
        <v>https://magyarfilozofiaitarsasag.wordpress.com/</v>
      </c>
      <c r="H17" s="3" t="str">
        <v>Не обнаружен</v>
      </c>
      <c r="I17" s="3" t="str">
        <v>Не обнаружен</v>
      </c>
      <c r="J17" s="3" t="str">
        <v>Не обнаружен</v>
      </c>
      <c r="K17" s="3" t="str">
        <v>Не обнаружен</v>
      </c>
      <c r="L17" s="7" t="str">
        <v>https://www.facebook.com/profile.php?id=100028121366860</v>
      </c>
      <c r="M17" s="3" t="str">
        <v>Не обнаружен</v>
      </c>
      <c r="N17" s="3" t="str">
        <v>Не обнаружен</v>
      </c>
      <c r="O17" s="3" t="str">
        <v>Не обнаружен</v>
      </c>
      <c r="P17" s="3" t="str">
        <v>Не обнаружен</v>
      </c>
      <c r="Q17" s="3" t="str">
        <v>Не обнаружен</v>
      </c>
      <c r="R17" s="3" t="str">
        <v>Не обнаружен</v>
      </c>
      <c r="S17" s="3" t="str">
        <v>Valastyán Tamás</v>
      </c>
      <c r="T17" s="3" t="str">
        <v>Президент (Elnök)</v>
      </c>
      <c r="U17" s="7" t="str">
        <v>https://magyarfilozofiaitarsasag.wordpress.com/elnokseg/</v>
      </c>
      <c r="V17" s="7" t="str">
        <v>https://magyarfilozofiaitarsasag.wordpress.com/alapszabaly/</v>
      </c>
      <c r="W17" s="3" t="str">
        <v>FISP</v>
      </c>
      <c r="X17" s="3" t="str">
        <v>Состав президиума опубликован на срок 2026–2030. В FISP указан прежний сайт mft-hps.hu.</v>
      </c>
      <c r="Y17" s="6" t="n">
        <v>46300</v>
      </c>
    </row>
    <row r="18" ht="48" customHeight="1">
      <c r="A18" s="8" t="n">
        <v>17</v>
      </c>
      <c r="B18" s="3" t="str">
        <v>Венесуэла</v>
      </c>
      <c r="C18" s="3" t="str">
        <v>Венесуэльское философское общество</v>
      </c>
      <c r="D18" s="3" t="str">
        <v>Sociedad Venezolana de Filosofía</v>
      </c>
      <c r="E18" s="3" t="str">
        <v>Профессиональное общество</v>
      </c>
      <c r="F18" s="3" t="str">
        <v>Не удалось достоверно установить</v>
      </c>
      <c r="G18" s="3" t="str">
        <v>Не обнаружен</v>
      </c>
      <c r="H18" s="3" t="str">
        <v>Не обнаружен</v>
      </c>
      <c r="I18" s="3" t="str">
        <v>Не обнаружен</v>
      </c>
      <c r="J18" s="3" t="str">
        <v>Не обнаружен</v>
      </c>
      <c r="K18" s="3" t="str">
        <v>Не обнаружен</v>
      </c>
      <c r="L18" s="3" t="str">
        <v>Не обнаружен</v>
      </c>
      <c r="M18" s="3" t="str">
        <v>Не обнаружен</v>
      </c>
      <c r="N18" s="3" t="str">
        <v>Не обнаружен</v>
      </c>
      <c r="O18" s="3" t="str">
        <v>Не обнаружен</v>
      </c>
      <c r="P18" s="3" t="str">
        <v>Не обнаружен</v>
      </c>
      <c r="Q18" s="3" t="str">
        <v>Не обнаружен</v>
      </c>
      <c r="R18" s="3" t="str">
        <v>Не обнаружен</v>
      </c>
      <c r="S18" s="9" t="str">
        <v>Не удалось достоверно установить</v>
      </c>
      <c r="T18" s="9" t="str">
        <v>Не удалось достоверно установить</v>
      </c>
      <c r="U18" s="3" t="str">
        <v>Не обнаружен</v>
      </c>
      <c r="V18" s="7" t="str">
        <v>https://www.fisp.org/members/national-societies</v>
      </c>
      <c r="W18" s="3" t="str">
        <v>FISP</v>
      </c>
      <c r="X18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18" s="6" t="n">
        <v>46300</v>
      </c>
    </row>
    <row r="19" ht="48" customHeight="1">
      <c r="A19" s="8" t="n">
        <v>18</v>
      </c>
      <c r="B19" s="3" t="str">
        <v>Вьетнам</v>
      </c>
      <c r="C19" s="3" t="str">
        <v>Философская ассоциация Вьетнама</v>
      </c>
      <c r="D19" s="3" t="str">
        <v>Hội Triết học Việt Nam</v>
      </c>
      <c r="E19" s="3" t="str">
        <v>Профессиональная ассоциация</v>
      </c>
      <c r="F19" s="3" t="str">
        <v>Не удалось достоверно установить</v>
      </c>
      <c r="G19" s="7" t="str">
        <v>https://hoitriethoc.com/</v>
      </c>
      <c r="H19" s="3" t="str">
        <v>Не обнаружен</v>
      </c>
      <c r="I19" s="3" t="str">
        <v>Не обнаружен</v>
      </c>
      <c r="J19" s="3" t="str">
        <v>Не обнаружен</v>
      </c>
      <c r="K19" s="3" t="str">
        <v>Не обнаружен</v>
      </c>
      <c r="L19" s="3" t="str">
        <v>Не обнаружен</v>
      </c>
      <c r="M19" s="3" t="str">
        <v>Не обнаружен</v>
      </c>
      <c r="N19" s="3" t="str">
        <v>Не обнаружен</v>
      </c>
      <c r="O19" s="3" t="str">
        <v>Не обнаружен</v>
      </c>
      <c r="P19" s="3" t="str">
        <v>Не обнаружен</v>
      </c>
      <c r="Q19" s="3" t="str">
        <v>Не обнаружен</v>
      </c>
      <c r="R19" s="3" t="str">
        <v>Не обнаружен</v>
      </c>
      <c r="S19" s="3" t="str">
        <v>Phạm Văn Đức</v>
      </c>
      <c r="T19" s="3" t="str">
        <v>Президент (Chủ tịch)</v>
      </c>
      <c r="U19" s="7" t="str">
        <v>https://hoitriethoc.com/thong-bao-ket-qua-dai-hoi-nhiem-ky-ii-2026-2031-cua-hoi-triet-hoc-viet-nam/</v>
      </c>
      <c r="V19" s="7" t="str">
        <v>https://hoitriethoc.com/</v>
      </c>
      <c r="W19" s="3" t="str">
        <v>FISP</v>
      </c>
      <c r="X19" s="3" t="str">
        <v>Результаты второго съезда опубликованы 06.05.2026; срок 2026–2031. Упоминание Nghiên cứu Triết học на сайте само по себе не доказывает, что журнал принадлежит ассоциации.</v>
      </c>
      <c r="Y19" s="6" t="n">
        <v>46300</v>
      </c>
    </row>
    <row r="20" ht="48" customHeight="1">
      <c r="A20" s="8" t="n">
        <v>19</v>
      </c>
      <c r="B20" s="3" t="str">
        <v>Гватемала</v>
      </c>
      <c r="C20" s="3" t="str">
        <v>Гватемальская философская ассоциация</v>
      </c>
      <c r="D20" s="3" t="str">
        <v>Asociación Guatemalteca de Filosofía</v>
      </c>
      <c r="E20" s="3" t="str">
        <v>Профессиональная ассоциация</v>
      </c>
      <c r="F20" s="3" t="str">
        <v>Не удалось достоверно установить</v>
      </c>
      <c r="G20" s="7" t="str">
        <v>https://agfil.org/</v>
      </c>
      <c r="H20" s="3" t="str">
        <v>Azur. Revista Centroamericana de Filosofía</v>
      </c>
      <c r="I20" s="7" t="str">
        <v>https://azurrevista.com/</v>
      </c>
      <c r="J20" s="3" t="str">
        <v>Не обнаружен</v>
      </c>
      <c r="K20" s="3" t="str">
        <v>Не обнаружен</v>
      </c>
      <c r="L20" s="3" t="str">
        <v>Не обнаружен</v>
      </c>
      <c r="M20" s="3" t="str">
        <v>Не обнаружен</v>
      </c>
      <c r="N20" s="3" t="str">
        <v>Не обнаружен</v>
      </c>
      <c r="O20" s="3" t="str">
        <v>Не обнаружен</v>
      </c>
      <c r="P20" s="3" t="str">
        <v>Не обнаружен</v>
      </c>
      <c r="Q20" s="3" t="str">
        <v>Не обнаружен</v>
      </c>
      <c r="R20" s="3" t="str">
        <v>Не обнаружен</v>
      </c>
      <c r="S20" s="9" t="str">
        <v>Не удалось достоверно установить</v>
      </c>
      <c r="T20" s="9" t="str">
        <v>Не удалось достоверно установить</v>
      </c>
      <c r="U20" s="3" t="str">
        <v>Не обнаружен</v>
      </c>
      <c r="V20" s="7" t="str">
        <v>https://www.fisp.org/members/national-societies</v>
      </c>
      <c r="W20" s="3" t="str">
        <v>FISP; ACAFI</v>
      </c>
      <c r="X20" s="3" t="str">
        <v>Azur — совместный официальный орган национальных ассоциаций ACAFI. Доступ к официальному сайту: При проверке не открылся; HTTP 502.</v>
      </c>
      <c r="Y20" s="6" t="n">
        <v>46300</v>
      </c>
    </row>
    <row r="21" ht="48" customHeight="1">
      <c r="A21" s="8" t="n">
        <v>20</v>
      </c>
      <c r="B21" s="3" t="str">
        <v>Германия</v>
      </c>
      <c r="C21" s="3" t="str">
        <v>Немецкое философское общество</v>
      </c>
      <c r="D21" s="3" t="str">
        <v>Deutsche Gesellschaft für Philosophie e.V.</v>
      </c>
      <c r="E21" s="3" t="str">
        <v>Профессиональное общество</v>
      </c>
      <c r="F21" s="3" t="str">
        <v>Независимое зарегистрированное общество; юридический адрес — Лейпциг</v>
      </c>
      <c r="G21" s="7" t="str">
        <v>https://www.dgphil.de/</v>
      </c>
      <c r="H21" s="3" t="str">
        <v>Не обнаружен</v>
      </c>
      <c r="I21" s="3" t="str">
        <v>Не обнаружен</v>
      </c>
      <c r="J21" s="3" t="str">
        <v>Не обнаружен</v>
      </c>
      <c r="K21" s="3" t="str">
        <v>Не обнаружен</v>
      </c>
      <c r="L21" s="7" t="str">
        <v>https://www.facebook.com/dgphil.offiziell/</v>
      </c>
      <c r="M21" s="3" t="str">
        <v>Не обнаружен</v>
      </c>
      <c r="N21" s="7" t="str">
        <v>https://twitter.com/dgphil_ev</v>
      </c>
      <c r="O21" s="3" t="str">
        <v>Не обнаружен</v>
      </c>
      <c r="P21" s="3" t="str">
        <v>Не обнаружен</v>
      </c>
      <c r="Q21" s="3" t="str">
        <v>Не обнаружен</v>
      </c>
      <c r="R21" s="3" t="str">
        <v>Не обнаружен</v>
      </c>
      <c r="S21" s="3" t="str">
        <v>Ruth Hagengruber</v>
      </c>
      <c r="T21" s="3" t="str">
        <v>Президент (Präsidentin)</v>
      </c>
      <c r="U21" s="7" t="str">
        <v>https://www.dgphil.de/impressum/</v>
      </c>
      <c r="V21" s="7" t="str">
        <v>https://www.dgphil.de/</v>
      </c>
      <c r="W21" s="3" t="str">
        <v>FISP</v>
      </c>
      <c r="X21" s="3" t="str">
        <v>Новый состав избран 28.02.2025. Основное широкопрофильное национальное общество.</v>
      </c>
      <c r="Y21" s="6" t="n">
        <v>46300</v>
      </c>
    </row>
    <row r="22" ht="48" customHeight="1">
      <c r="A22" s="8" t="n">
        <v>21</v>
      </c>
      <c r="B22" s="3" t="str">
        <v>Греция</v>
      </c>
      <c r="C22" s="3" t="str">
        <v>Греческое философское общество</v>
      </c>
      <c r="D22" s="3" t="str">
        <v>Ελληνική Φιλοσοφική Εταιρεία</v>
      </c>
      <c r="E22" s="3" t="str">
        <v>Профессиональное общество</v>
      </c>
      <c r="F22" s="3" t="str">
        <v>Не удалось достоверно установить</v>
      </c>
      <c r="G22" s="7" t="str">
        <v>https://philosophia.org.gr/</v>
      </c>
      <c r="H22" s="3" t="str">
        <v>Ελληνική Φιλοσοφική Επιθεώρηση</v>
      </c>
      <c r="I22" s="7" t="str">
        <v>https://philosophia.org.gr/elliniki-filosofiki-epitheorisi</v>
      </c>
      <c r="J22" s="3" t="str">
        <v>Не обнаружен</v>
      </c>
      <c r="K22" s="3" t="str">
        <v>Не обнаружен</v>
      </c>
      <c r="L22" s="3" t="str">
        <v>Не обнаружен</v>
      </c>
      <c r="M22" s="3" t="str">
        <v>Не обнаружен</v>
      </c>
      <c r="N22" s="3" t="str">
        <v>Не обнаружен</v>
      </c>
      <c r="O22" s="3" t="str">
        <v>Не обнаружен</v>
      </c>
      <c r="P22" s="3" t="str">
        <v>Не обнаружен</v>
      </c>
      <c r="Q22" s="3" t="str">
        <v>Не обнаружен</v>
      </c>
      <c r="R22" s="3" t="str">
        <v>Не обнаружен</v>
      </c>
      <c r="S22" s="3" t="str">
        <v>Σωκράτης Δεληβογιατζής</v>
      </c>
      <c r="T22" s="3" t="str">
        <v>Президент (Πρόεδρος)</v>
      </c>
      <c r="U22" s="7" t="str">
        <v>https://philosophia.org.gr/dioikisi-efe/dioikitiko-symvoylio</v>
      </c>
      <c r="V22" s="7" t="str">
        <v>https://philosophia.org.gr/</v>
      </c>
      <c r="W22" s="3" t="str">
        <v>FISP</v>
      </c>
      <c r="X22" s="3" t="str">
        <v>Собственный научный журнал подтвержден страницей общества; опубликованы выпуски 126–127 за январь–июль 2026. Действующее правление опубликовано на срок 2024–2026; старые страницы 2019–2022 содержат другой состав и не использованы для текущего руководителя.</v>
      </c>
      <c r="Y22" s="6" t="n">
        <v>46300</v>
      </c>
    </row>
    <row r="23" ht="48" customHeight="1">
      <c r="A23" s="8" t="n">
        <v>22</v>
      </c>
      <c r="B23" s="3" t="str">
        <v>Дания</v>
      </c>
      <c r="C23" s="3" t="str">
        <v>Датское философское общество</v>
      </c>
      <c r="D23" s="3" t="str">
        <v>Dansk Filosofisk Selskab</v>
      </c>
      <c r="E23" s="3" t="str">
        <v>Профессиональное общество</v>
      </c>
      <c r="F23" s="3" t="str">
        <v>Самостоятельное общество; контактный адрес при Syddansk Universitet</v>
      </c>
      <c r="G23" s="7" t="str">
        <v>https://www.filosofiskselskab.dk/</v>
      </c>
      <c r="H23" s="3" t="str">
        <v>Danish Yearbook of Philosophy</v>
      </c>
      <c r="I23" s="7" t="str">
        <v>https://www.filosofiskselskab.dk/aarbog</v>
      </c>
      <c r="J23" s="3" t="str">
        <v>Filosofiske Anmeldelser</v>
      </c>
      <c r="K23" s="7" t="str">
        <v>https://www.filosofiskselskab.dk/anmeldelser</v>
      </c>
      <c r="L23" s="3" t="str">
        <v>Не обнаружен</v>
      </c>
      <c r="M23" s="3" t="str">
        <v>Не обнаружен</v>
      </c>
      <c r="N23" s="3" t="str">
        <v>Не обнаружен</v>
      </c>
      <c r="O23" s="3" t="str">
        <v>Не обнаружен</v>
      </c>
      <c r="P23" s="3" t="str">
        <v>Не обнаружен</v>
      </c>
      <c r="Q23" s="3" t="str">
        <v>Не обнаружен</v>
      </c>
      <c r="R23" s="3" t="str">
        <v>Не обнаружен</v>
      </c>
      <c r="S23" s="3" t="str">
        <v>Nikolaj Nottelmann</v>
      </c>
      <c r="T23" s="3" t="str">
        <v>Председатель (Forperson)</v>
      </c>
      <c r="U23" s="7" t="str">
        <v>https://www.filosofiskselskab.dk/bestyrelse</v>
      </c>
      <c r="V23" s="7" t="str">
        <v>https://www.filosofiskselskab.dk/vedtgter</v>
      </c>
      <c r="W23" s="3" t="str">
        <v>FISP</v>
      </c>
      <c r="X23" s="3" t="str">
        <v>Правление 2026–2027 избрано 20.03.2026. Собственный сайт прямо указывает владение обоими журналами.</v>
      </c>
      <c r="Y23" s="6" t="n">
        <v>46300</v>
      </c>
    </row>
    <row r="24" ht="48" customHeight="1">
      <c r="A24" s="8" t="n">
        <v>23</v>
      </c>
      <c r="B24" s="3" t="str">
        <v>Доминиканская Республика</v>
      </c>
      <c r="C24" s="3" t="str">
        <v>Доминиканская философская ассоциация</v>
      </c>
      <c r="D24" s="3" t="str">
        <v>Asociación Dominicana de Filosofía</v>
      </c>
      <c r="E24" s="3" t="str">
        <v>Национальная профессиональная ассоциация</v>
      </c>
      <c r="F24" s="3" t="str">
        <v>Не удалось достоверно установить</v>
      </c>
      <c r="G24" s="3" t="str">
        <v>Не обнаружен</v>
      </c>
      <c r="H24" s="3" t="str">
        <v>Azur. Revista Centroamericana de Filosofía</v>
      </c>
      <c r="I24" s="7" t="str">
        <v>https://azurrevista.com/</v>
      </c>
      <c r="J24" s="3" t="str">
        <v>Не обнаружен</v>
      </c>
      <c r="K24" s="3" t="str">
        <v>Не обнаружен</v>
      </c>
      <c r="L24" s="3" t="str">
        <v>Не обнаружен</v>
      </c>
      <c r="M24" s="3" t="str">
        <v>Не обнаружен</v>
      </c>
      <c r="N24" s="3" t="str">
        <v>Не обнаружен</v>
      </c>
      <c r="O24" s="3" t="str">
        <v>Не обнаружен</v>
      </c>
      <c r="P24" s="3" t="str">
        <v>Не обнаружен</v>
      </c>
      <c r="Q24" s="3" t="str">
        <v>Не обнаружен</v>
      </c>
      <c r="R24" s="3" t="str">
        <v>Не обнаружен</v>
      </c>
      <c r="S24" s="9" t="str">
        <v>Не удалось достоверно установить</v>
      </c>
      <c r="T24" s="9" t="str">
        <v>Не удалось достоверно установить</v>
      </c>
      <c r="U24" s="3" t="str">
        <v>Не обнаружен</v>
      </c>
      <c r="V24" s="7" t="str">
        <v>https://rediberoamericanafilosofia.com/acafi/</v>
      </c>
      <c r="W24" s="3" t="str">
        <v>ACAFI</v>
      </c>
      <c r="X24" s="3" t="str">
        <v>Региональная федерация указывает название и сокращение ADOFIL; сайт и современное руководство требуют проверки. Azur — совместный официальный орган национальных ассоциаций ACAFI.</v>
      </c>
      <c r="Y24" s="6" t="n">
        <v>46300</v>
      </c>
    </row>
    <row r="25" ht="48" customHeight="1">
      <c r="A25" s="8" t="n">
        <v>24</v>
      </c>
      <c r="B25" s="3" t="str">
        <v>ДР Конго</v>
      </c>
      <c r="C25" s="3" t="str">
        <v>Философское общество Конго</v>
      </c>
      <c r="D25" s="3" t="str">
        <v>Société Philosophique du Congo (SOPHICO)</v>
      </c>
      <c r="E25" s="3" t="str">
        <v>Национальное профессиональное общество</v>
      </c>
      <c r="F25" s="3" t="str">
        <v>Не удалось достоверно установить</v>
      </c>
      <c r="G25" s="3" t="str">
        <v>Не обнаружен</v>
      </c>
      <c r="H25" s="3" t="str">
        <v>Не обнаружен</v>
      </c>
      <c r="I25" s="3" t="str">
        <v>Не обнаружен</v>
      </c>
      <c r="J25" s="3" t="str">
        <v>Не обнаружен</v>
      </c>
      <c r="K25" s="3" t="str">
        <v>Не обнаружен</v>
      </c>
      <c r="L25" s="3" t="str">
        <v>Не обнаружен</v>
      </c>
      <c r="M25" s="3" t="str">
        <v>Не обнаружен</v>
      </c>
      <c r="N25" s="3" t="str">
        <v>Не обнаружен</v>
      </c>
      <c r="O25" s="3" t="str">
        <v>Не обнаружен</v>
      </c>
      <c r="P25" s="3" t="str">
        <v>Не обнаружен</v>
      </c>
      <c r="Q25" s="3" t="str">
        <v>Не обнаружен</v>
      </c>
      <c r="R25" s="3" t="str">
        <v>Не обнаружен</v>
      </c>
      <c r="S25" s="9" t="str">
        <v>Не удалось достоверно установить</v>
      </c>
      <c r="T25" s="9" t="str">
        <v>Не удалось достоверно установить</v>
      </c>
      <c r="U25" s="3" t="str">
        <v>Не обнаружен</v>
      </c>
      <c r="V25" s="7" t="str">
        <v>https://acp.cd/nation/publication-dun-nouveau-numero-de-la-revue-dynamique-critique-par-lecole-philosophique-de-kisangani/</v>
      </c>
      <c r="W25" s="3" t="str">
        <v>Не обнаружено</v>
      </c>
      <c r="X25" s="3" t="str">
        <v>Демократическая Республика Конго, не Республика Конго. Национальное общество и его школа в Кисангани подтверждены государственным агентством ACP. Dynamique critique издается школой / подразделением Кисангани; не приписан общенациональному обществу без уточнения.</v>
      </c>
      <c r="Y25" s="6" t="n">
        <v>46300</v>
      </c>
    </row>
    <row r="26" ht="61" customHeight="1">
      <c r="A26" s="8" t="n">
        <v>25</v>
      </c>
      <c r="B26" s="3" t="str">
        <v>Египет</v>
      </c>
      <c r="C26" s="3" t="str">
        <v>Египетское философское общество</v>
      </c>
      <c r="D26" s="3" t="str">
        <v>الجمعية الفلسفية المصرية</v>
      </c>
      <c r="E26" s="3" t="str">
        <v>Национальное философское общество</v>
      </c>
      <c r="F26" s="3" t="str">
        <v>Самостоятельное философское общество; сотрудничество с философскими кафедрами университетов Египта.</v>
      </c>
      <c r="G26" s="3" t="str">
        <v>Не обнаружен</v>
      </c>
      <c r="H26" s="3" t="str">
        <v>مجلة الجمعية الفلسفية المصرية</v>
      </c>
      <c r="I26" s="7" t="str">
        <v>https://mafa.journals.ekb.eg/</v>
      </c>
      <c r="J26" s="3" t="str">
        <v>Не обнаружен</v>
      </c>
      <c r="K26" s="3" t="str">
        <v>Не обнаружен</v>
      </c>
      <c r="L26" s="3" t="str">
        <v>Не обнаружен</v>
      </c>
      <c r="M26" s="3" t="str">
        <v>Не обнаружен</v>
      </c>
      <c r="N26" s="3" t="str">
        <v>Не обнаружен</v>
      </c>
      <c r="O26" s="3" t="str">
        <v>Не обнаружен</v>
      </c>
      <c r="P26" s="3" t="str">
        <v>Не обнаружен</v>
      </c>
      <c r="Q26" s="3" t="str">
        <v>Не обнаружен</v>
      </c>
      <c r="R26" s="3" t="str">
        <v>Не обнаружен</v>
      </c>
      <c r="S26" s="3" t="str">
        <v>مصطفى النشار</v>
      </c>
      <c r="T26" s="3" t="str">
        <v>Президент (رئيس الجمعية)</v>
      </c>
      <c r="U26" s="7" t="str">
        <v>https://www.dar-alifta.org/ar/articles/details/9775</v>
      </c>
      <c r="V26" s="7" t="str">
        <v>https://www.dar-alifta.org/ar/articles/details/9775</v>
      </c>
      <c r="W26" s="3" t="str">
        <v>Не обнаружено</v>
      </c>
      <c r="X26" s="3" t="str">
        <v>Руководитель подтвержден Dar al-Ifta в 2025; дополнительно назван президентом в сообщении от 24.01.2026: Журнал публикуется на государственной платформе Egyptian Knowledge Bank; независимый مجلة الفكر المعاصر не приписан обществу. Дополнительные подтверждения приведены на листе «Источники».</v>
      </c>
      <c r="Y26" s="6" t="n">
        <v>46300</v>
      </c>
    </row>
    <row r="27" ht="48" customHeight="1">
      <c r="A27" s="8" t="n">
        <v>26</v>
      </c>
      <c r="B27" s="3" t="str">
        <v>Зимбабве</v>
      </c>
      <c r="C27" s="3" t="str">
        <v>Философское общество Зимбабве</v>
      </c>
      <c r="D27" s="3" t="str">
        <v>Philosophical Society of Zimbabwe</v>
      </c>
      <c r="E27" s="3" t="str">
        <v>Национальное философское общество</v>
      </c>
      <c r="F27" s="3" t="str">
        <v>Не удалось достоверно установить</v>
      </c>
      <c r="G27" s="3" t="str">
        <v>Не обнаружен</v>
      </c>
      <c r="H27" s="3" t="str">
        <v>Не обнаружен</v>
      </c>
      <c r="I27" s="3" t="str">
        <v>Не обнаружен</v>
      </c>
      <c r="J27" s="3" t="str">
        <v>Не обнаружен</v>
      </c>
      <c r="K27" s="3" t="str">
        <v>Не обнаружен</v>
      </c>
      <c r="L27" s="3" t="str">
        <v>Не обнаружен</v>
      </c>
      <c r="M27" s="3" t="str">
        <v>Не обнаружен</v>
      </c>
      <c r="N27" s="3" t="str">
        <v>Не обнаружен</v>
      </c>
      <c r="O27" s="3" t="str">
        <v>Не обнаружен</v>
      </c>
      <c r="P27" s="3" t="str">
        <v>Не обнаружен</v>
      </c>
      <c r="Q27" s="3" t="str">
        <v>Не обнаружен</v>
      </c>
      <c r="R27" s="3" t="str">
        <v>Не обнаружен</v>
      </c>
      <c r="S27" s="9" t="str">
        <v>Не удалось достоверно установить</v>
      </c>
      <c r="T27" s="9" t="str">
        <v>Не удалось достоверно установить</v>
      </c>
      <c r="U27" s="3" t="str">
        <v>Не обнаружен</v>
      </c>
      <c r="V27" s="7" t="str">
        <v>https://www.vernonpress.com/index.php/author/12428</v>
      </c>
      <c r="W27" s="3" t="str">
        <v>Не обнаружено</v>
      </c>
      <c r="X27" s="3" t="str">
        <v>Существование подтверждено академическим издателем Vernon Press. В биографии Fainos Mangena назван временным президентом; исходные сведения относятся к публикациям 2017/2018, современная активность не подтверждена.</v>
      </c>
      <c r="Y27" s="6" t="n">
        <v>46300</v>
      </c>
    </row>
    <row r="28" ht="48" customHeight="1">
      <c r="A28" s="8" t="n">
        <v>27</v>
      </c>
      <c r="B28" s="3" t="str">
        <v>Израиль</v>
      </c>
      <c r="C28" s="3" t="str">
        <v>Новое израильское философское общество</v>
      </c>
      <c r="D28" s="3" t="str">
        <v>The New Israeli Philosophical Society</v>
      </c>
      <c r="E28" s="3" t="str">
        <v>Профессиональное общество</v>
      </c>
      <c r="F28" s="3" t="str">
        <v>Не удалось достоверно установить</v>
      </c>
      <c r="G28" s="3" t="str">
        <v>Не обнаружен</v>
      </c>
      <c r="H28" s="3" t="str">
        <v>Не обнаружен</v>
      </c>
      <c r="I28" s="3" t="str">
        <v>Не обнаружен</v>
      </c>
      <c r="J28" s="3" t="str">
        <v>Не обнаружен</v>
      </c>
      <c r="K28" s="3" t="str">
        <v>Не обнаружен</v>
      </c>
      <c r="L28" s="3" t="str">
        <v>Не обнаружен</v>
      </c>
      <c r="M28" s="3" t="str">
        <v>Не обнаружен</v>
      </c>
      <c r="N28" s="3" t="str">
        <v>Не обнаружен</v>
      </c>
      <c r="O28" s="3" t="str">
        <v>Не обнаружен</v>
      </c>
      <c r="P28" s="3" t="str">
        <v>Не обнаружен</v>
      </c>
      <c r="Q28" s="3" t="str">
        <v>Не обнаружен</v>
      </c>
      <c r="R28" s="3" t="str">
        <v>Не обнаружен</v>
      </c>
      <c r="S28" s="9" t="str">
        <v>Не удалось достоверно установить</v>
      </c>
      <c r="T28" s="9" t="str">
        <v>Не удалось достоверно установить</v>
      </c>
      <c r="U28" s="3" t="str">
        <v>Не обнаружен</v>
      </c>
      <c r="V28" s="7" t="str">
        <v>https://www.fisp.org/members/national-societies</v>
      </c>
      <c r="W28" s="3" t="str">
        <v>FISP</v>
      </c>
      <c r="X28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28" s="6" t="n">
        <v>46300</v>
      </c>
    </row>
    <row r="29" ht="48" customHeight="1">
      <c r="A29" s="8" t="n">
        <v>28</v>
      </c>
      <c r="B29" s="3" t="str">
        <v>Индия</v>
      </c>
      <c r="C29" s="3" t="str">
        <v>Всеиндийский философский совет</v>
      </c>
      <c r="D29" s="3" t="str">
        <v>अखिल भारतीय दर्शन परिषद्</v>
      </c>
      <c r="E29" s="3" t="str">
        <v>Профессиональная ассоциация</v>
      </c>
      <c r="F29" s="3" t="str">
        <v>Не удалось достоверно установить</v>
      </c>
      <c r="G29" s="7" t="str">
        <v>https://www.abdpindia.net/</v>
      </c>
      <c r="H29" s="3" t="str">
        <v>Не обнаружен</v>
      </c>
      <c r="I29" s="3" t="str">
        <v>Не обнаружен</v>
      </c>
      <c r="J29" s="3" t="str">
        <v>Не обнаружен</v>
      </c>
      <c r="K29" s="3" t="str">
        <v>Не обнаружен</v>
      </c>
      <c r="L29" s="3" t="str">
        <v>Не обнаружен</v>
      </c>
      <c r="M29" s="3" t="str">
        <v>Не обнаружен</v>
      </c>
      <c r="N29" s="3" t="str">
        <v>Не обнаружен</v>
      </c>
      <c r="O29" s="3" t="str">
        <v>Не обнаружен</v>
      </c>
      <c r="P29" s="3" t="str">
        <v>Не обнаружен</v>
      </c>
      <c r="Q29" s="3" t="str">
        <v>Не обнаружен</v>
      </c>
      <c r="R29" s="3" t="str">
        <v>Не обнаружен</v>
      </c>
      <c r="S29" s="9" t="str">
        <v>Не удалось достоверно установить</v>
      </c>
      <c r="T29" s="9" t="str">
        <v>Не удалось достоверно установить</v>
      </c>
      <c r="U29" s="3" t="str">
        <v>Не обнаружен</v>
      </c>
      <c r="V29" s="7" t="str">
        <v>https://www.fisp.org/members/national-societies</v>
      </c>
      <c r="W29" s="3" t="str">
        <v>FISP</v>
      </c>
      <c r="X29" s="3" t="str">
        <v>Отдельное общенациональное объединение от Indian Philosophical Congress; оба перечислены FISP. В национальных источниках используются индийское название и английское All India Philosophy Association. Актуальное управление не подтверждено.</v>
      </c>
      <c r="Y29" s="6" t="n">
        <v>46300</v>
      </c>
    </row>
    <row r="30" ht="48" customHeight="1">
      <c r="A30" s="8" t="n">
        <v>29</v>
      </c>
      <c r="B30" s="3" t="str">
        <v>Индия</v>
      </c>
      <c r="C30" s="3" t="str">
        <v>Индийский философский конгресс</v>
      </c>
      <c r="D30" s="3" t="str">
        <v>Indian Philosophical Congress</v>
      </c>
      <c r="E30" s="3" t="str">
        <v>Национальный профессиональный конгресс</v>
      </c>
      <c r="F30" s="3" t="str">
        <v>Не удалось достоверно установить</v>
      </c>
      <c r="G30" s="7" t="str">
        <v>https://indianphilosophicalcongress.in/</v>
      </c>
      <c r="H30" s="3" t="str">
        <v>Не обнаружен</v>
      </c>
      <c r="I30" s="3" t="str">
        <v>Не обнаружен</v>
      </c>
      <c r="J30" s="3" t="str">
        <v>Не обнаружен</v>
      </c>
      <c r="K30" s="3" t="str">
        <v>Не обнаружен</v>
      </c>
      <c r="L30" s="3" t="str">
        <v>Не обнаружен</v>
      </c>
      <c r="M30" s="3" t="str">
        <v>Не обнаружен</v>
      </c>
      <c r="N30" s="3" t="str">
        <v>Не обнаружен</v>
      </c>
      <c r="O30" s="3" t="str">
        <v>Не обнаружен</v>
      </c>
      <c r="P30" s="3" t="str">
        <v>Не обнаружен</v>
      </c>
      <c r="Q30" s="3" t="str">
        <v>Не обнаружен</v>
      </c>
      <c r="R30" s="3" t="str">
        <v>Не обнаружен</v>
      </c>
      <c r="S30" s="3" t="str">
        <v>S. K. Singh</v>
      </c>
      <c r="T30" s="3" t="str">
        <v>Исполняющий обязанности председателя (Officiating Chairperson)</v>
      </c>
      <c r="U30" s="7" t="str">
        <v>https://indianphilosophicalcongress.in/</v>
      </c>
      <c r="V30" s="7" t="str">
        <v>https://www.fisp.org/members/national-societies</v>
      </c>
      <c r="W30" s="3" t="str">
        <v>FISP</v>
      </c>
      <c r="X30" s="3" t="str">
        <v>Сайт с программой 101-й сессии 27–30.11.2026 указывает Officiating Chairperson S. K. Singh. General President Raghunath Ghosh — президент отдельной сессии, не постоянный первый руководитель. Отдельная организация от अखिल भारतीय दर्शन परिषद्.</v>
      </c>
      <c r="Y30" s="6" t="n">
        <v>46300</v>
      </c>
    </row>
    <row r="31" ht="87" customHeight="1">
      <c r="A31" s="8" t="n">
        <v>30</v>
      </c>
      <c r="B31" s="3" t="str">
        <v>Иордания</v>
      </c>
      <c r="C31" s="3" t="str">
        <v>Иорданское философское общество</v>
      </c>
      <c r="D31" s="3" t="str">
        <v>الجمعية الفلسفية الأردنية</v>
      </c>
      <c r="E31" s="3" t="str">
        <v>Национальное философское общество</v>
      </c>
      <c r="F31" s="3" t="str">
        <v>Самостоятельное общественное объединение; Амман</v>
      </c>
      <c r="G31" s="3" t="str">
        <v>Не обнаружен</v>
      </c>
      <c r="H31" s="3" t="str">
        <v>Не обнаружен</v>
      </c>
      <c r="I31" s="3" t="str">
        <v>Не обнаружен</v>
      </c>
      <c r="J31" s="3" t="str">
        <v>Не обнаружен</v>
      </c>
      <c r="K31" s="3" t="str">
        <v>Не обнаружен</v>
      </c>
      <c r="L31" s="3" t="str">
        <v>Не обнаружен</v>
      </c>
      <c r="M31" s="3" t="str">
        <v>Не обнаружен</v>
      </c>
      <c r="N31" s="3" t="str">
        <v>Не обнаружен</v>
      </c>
      <c r="O31" s="3" t="str">
        <v>Не обнаружен</v>
      </c>
      <c r="P31" s="3" t="str">
        <v>Не обнаружен</v>
      </c>
      <c r="Q31" s="3" t="str">
        <v>Не обнаружен</v>
      </c>
      <c r="R31" s="3" t="str">
        <v>Не обнаружен</v>
      </c>
      <c r="S31" s="9" t="str">
        <v>Не удалось достоверно установить</v>
      </c>
      <c r="T31" s="9" t="str">
        <v>Не удалось достоверно установить</v>
      </c>
      <c r="U31" s="7" t="str">
        <v>https://www.ammonnews.net/article/1030112</v>
      </c>
      <c r="V31" s="7" t="str">
        <v>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</v>
      </c>
      <c r="W31" s="3" t="str">
        <v>Не обнаружено</v>
      </c>
      <c r="X31" s="3" t="str">
        <v>Государственное агентство Petra подтверждает организацию национального философского сообщества и проведение арабских философских конгрессов. В 2025 президентом назван محمد الشياب; публикации сентября 2026 сообщают о رئيسة لينا جزراوي. Прямое актуальное подтверждение общества / государственного источника о новом составе не найдено. Не отождествлять с отдельной межарабской الجمعية الفلسفية العربية.</v>
      </c>
      <c r="Y31" s="6" t="n">
        <v>46300</v>
      </c>
    </row>
    <row r="32" ht="113" customHeight="1">
      <c r="A32" s="8" t="n">
        <v>31</v>
      </c>
      <c r="B32" s="3" t="str">
        <v>Иран</v>
      </c>
      <c r="C32" s="3" t="str">
        <v>Иранское философское общество</v>
      </c>
      <c r="D32" s="3" t="str">
        <v>انجمن حکمت و فلسفۀ ایران</v>
      </c>
      <c r="E32" s="3" t="str">
        <v>Профессиональное научное общество</v>
      </c>
      <c r="F32" s="3" t="str">
        <v>Не удалось достоверно установить</v>
      </c>
      <c r="G32" s="7" t="str">
        <v>https://ipso.ir/</v>
      </c>
      <c r="H32" s="3" t="str">
        <v>تأملات فلسفی</v>
      </c>
      <c r="I32" s="7" t="str">
        <v>https://phm.znu.ac.ir/journal/about</v>
      </c>
      <c r="J32" s="3" t="str">
        <v>Не обнаружен</v>
      </c>
      <c r="K32" s="3" t="str">
        <v>Не обнаружен</v>
      </c>
      <c r="L32" s="3" t="str">
        <v>Не обнаружен</v>
      </c>
      <c r="M32" s="3" t="str">
        <v>Не обнаружен</v>
      </c>
      <c r="N32" s="3" t="str">
        <v>Не обнаружен</v>
      </c>
      <c r="O32" s="3" t="str">
        <v>Не обнаружен</v>
      </c>
      <c r="P32" s="3" t="str">
        <v>Не обнаружен</v>
      </c>
      <c r="Q32" s="7" t="str">
        <v>https://t.me/ipsoir</v>
      </c>
      <c r="R32" s="3" t="str">
        <v>Не обнаружен</v>
      </c>
      <c r="S32" s="3" t="str">
        <v>سعید انواری</v>
      </c>
      <c r="T32" s="3" t="str">
        <v>Президент (رئیس)</v>
      </c>
      <c r="U32" s="7" t="str">
        <v>https://ipso.ir/%D8%AF%D8%B1%D8%A8%D8%A7%D8%B1%DB%80-%D8%A7%D9%86%D8%AC%D9%85%D9%86/</v>
      </c>
      <c r="V32" s="7" t="str">
        <v>https://ipso.ir/%D8%AF%D8%B1%D8%A8%D8%A7%D8%B1%DB%80-%D8%A7%D9%86%D8%AC%D9%85%D9%86/</v>
      </c>
      <c r="W32" s="3" t="str">
        <v>FISP</v>
      </c>
      <c r="X32" s="3" t="str">
        <v>Отдельное научное общество; не отождествлять с государственным Институтом философии (مؤسسه پژوهشی حکمت و فلسفه ایران). Собственный сайт активен в 2026. Официальная форма названия уточнена по сайту организации. На официальной странице выделен действующий состав с 1403 года и отдельно предыдущие составы. Общественная ассоциация организационно отделена от государственного института حکمت و فلسفه. Журнал تأملات فلسفی прямо называет общество научным партнером; издатель — Университет Зенджана. جاویدان خرد принадлежит государственному институту; одной ссылки общества на его сайт недостаточно для приписывания журналу статуса издания общества.</v>
      </c>
      <c r="Y32" s="6" t="n">
        <v>46300</v>
      </c>
    </row>
    <row r="33" ht="48" customHeight="1">
      <c r="A33" s="8" t="n">
        <v>32</v>
      </c>
      <c r="B33" s="3" t="str">
        <v>Ирландия</v>
      </c>
      <c r="C33" s="3" t="str">
        <v>Ирландское философское общество</v>
      </c>
      <c r="D33" s="3" t="str">
        <v>Irish Philosophical Society / Cumann Fealsúnachta na hÉireann</v>
      </c>
      <c r="E33" s="3" t="str">
        <v>Профессиональное общество</v>
      </c>
      <c r="F33" s="3" t="str">
        <v>Не удалось достоверно установить</v>
      </c>
      <c r="G33" s="7" t="str">
        <v>https://www.irish-philosophical-society.ie/</v>
      </c>
      <c r="H33" s="3" t="str">
        <v>Yearbook of the Irish Philosophical Society</v>
      </c>
      <c r="I33" s="7" t="str">
        <v>https://www.irish-philosophical-society.ie/yearbook/</v>
      </c>
      <c r="J33" s="3" t="str">
        <v>Не обнаружен</v>
      </c>
      <c r="K33" s="3" t="str">
        <v>Не обнаружен</v>
      </c>
      <c r="L33" s="7" t="str">
        <v>https://www.facebook.com/irishphilosophicalsociety</v>
      </c>
      <c r="M33" s="3" t="str">
        <v>Не обнаружен</v>
      </c>
      <c r="N33" s="7" t="str">
        <v>https://x.com/irish_philos</v>
      </c>
      <c r="O33" s="7" t="str">
        <v>https://www.linkedin.com/company/irish-philosophical-society</v>
      </c>
      <c r="P33" s="3" t="str">
        <v>Не обнаружен</v>
      </c>
      <c r="Q33" s="3" t="str">
        <v>Не обнаружен</v>
      </c>
      <c r="R33" s="3" t="str">
        <v>Не обнаружен</v>
      </c>
      <c r="S33" s="3" t="str">
        <v>Felix Ó Murchadha</v>
      </c>
      <c r="T33" s="3" t="str">
        <v>Президент (President)</v>
      </c>
      <c r="U33" s="7" t="str">
        <v>https://www.irish-philosophical-society.ie/who/</v>
      </c>
      <c r="V33" s="7" t="str">
        <v>https://www.irish-philosophical-society.ie/</v>
      </c>
      <c r="W33" s="3" t="str">
        <v>FISP</v>
      </c>
      <c r="X33" s="3" t="str">
        <v>Объединяет большинство профессиональных философов Республики Ирландия и Северной Ирландии; приглашает студентов и публику.</v>
      </c>
      <c r="Y33" s="6" t="n">
        <v>46300</v>
      </c>
    </row>
    <row r="34" ht="48" customHeight="1">
      <c r="A34" s="8" t="n">
        <v>33</v>
      </c>
      <c r="B34" s="3" t="str">
        <v>Исландия</v>
      </c>
      <c r="C34" s="3" t="str">
        <v>Исландское общество любителей философии</v>
      </c>
      <c r="D34" s="3" t="str">
        <v>Félag áhugamanna um heimspeki</v>
      </c>
      <c r="E34" s="3" t="str">
        <v>Общенациональное философское общество</v>
      </c>
      <c r="F34" s="3" t="str">
        <v>Самостоятельное общество; сайт размещен Университетом Исландии</v>
      </c>
      <c r="G34" s="7" t="str">
        <v>https://heimspeki.hi.is/fah-hugur/</v>
      </c>
      <c r="H34" s="3" t="str">
        <v>Hugur</v>
      </c>
      <c r="I34" s="7" t="str">
        <v>https://heimspeki.hi.is/fah-hugur/</v>
      </c>
      <c r="J34" s="3" t="str">
        <v>Не обнаружен</v>
      </c>
      <c r="K34" s="3" t="str">
        <v>Не обнаружен</v>
      </c>
      <c r="L34" s="7" t="str">
        <v>http://www.facebook.com/pages/Felag-ahugamanna-um-heimspeki/152004208166986</v>
      </c>
      <c r="M34" s="3" t="str">
        <v>Не обнаружен</v>
      </c>
      <c r="N34" s="3" t="str">
        <v>Не обнаружен</v>
      </c>
      <c r="O34" s="3" t="str">
        <v>Не обнаружен</v>
      </c>
      <c r="P34" s="3" t="str">
        <v>Не обнаружен</v>
      </c>
      <c r="Q34" s="3" t="str">
        <v>Не обнаружен</v>
      </c>
      <c r="R34" s="3" t="str">
        <v>Не обнаружен</v>
      </c>
      <c r="S34" s="3" t="str">
        <v>Valur Brynjar Antonsson</v>
      </c>
      <c r="T34" s="3" t="str">
        <v>Председатель (Formaður)</v>
      </c>
      <c r="U34" s="7" t="str">
        <v>https://heimspeki.hi.is/fah-hugur/</v>
      </c>
      <c r="V34" s="7" t="str">
        <v>https://heimspeki.hi.is/fah-hugur/</v>
      </c>
      <c r="W34" s="3" t="str">
        <v>FISP</v>
      </c>
      <c r="X34" s="3" t="str">
        <v>Принимает профессиональных философов и заинтересованную публику; национальный член FISP. Текущая страница правления не указывает срок полномочий.</v>
      </c>
      <c r="Y34" s="6" t="n">
        <v>46300</v>
      </c>
    </row>
    <row r="35" ht="48" customHeight="1">
      <c r="A35" s="8" t="n">
        <v>34</v>
      </c>
      <c r="B35" s="3" t="str">
        <v>Испания</v>
      </c>
      <c r="C35" s="3" t="str">
        <v>Академическое философское общество</v>
      </c>
      <c r="D35" s="3" t="str">
        <v>Sociedad Académica de Filosofía</v>
      </c>
      <c r="E35" s="3" t="str">
        <v>Профессиональное общество</v>
      </c>
      <c r="F35" s="3" t="str">
        <v>Не удалось достоверно установить</v>
      </c>
      <c r="G35" s="7" t="str">
        <v>https://safil.es/</v>
      </c>
      <c r="H35" s="3" t="str">
        <v>Не обнаружен</v>
      </c>
      <c r="I35" s="3" t="str">
        <v>Не обнаружен</v>
      </c>
      <c r="J35" s="3" t="str">
        <v>Не обнаружен</v>
      </c>
      <c r="K35" s="3" t="str">
        <v>Не обнаружен</v>
      </c>
      <c r="L35" s="7" t="str">
        <v>https://www.facebook.com/FilosofiaSAF</v>
      </c>
      <c r="M35" s="3" t="str">
        <v>Не обнаружен</v>
      </c>
      <c r="N35" s="7" t="str">
        <v>https://twitter.com/FilosofiaSAF</v>
      </c>
      <c r="O35" s="3" t="str">
        <v>Не обнаружен</v>
      </c>
      <c r="P35" s="3" t="str">
        <v>Не обнаружен</v>
      </c>
      <c r="Q35" s="3" t="str">
        <v>Не обнаружен</v>
      </c>
      <c r="R35" s="3" t="str">
        <v>Не обнаружен</v>
      </c>
      <c r="S35" s="3" t="str">
        <v>Rafael Pérez Baquero</v>
      </c>
      <c r="T35" s="3" t="str">
        <v>Президент (Presidente)</v>
      </c>
      <c r="U35" s="7" t="str">
        <v>https://safil.es/standard-page-image</v>
      </c>
      <c r="V35" s="7" t="str">
        <v>https://www.fisp.org/members/national-societies</v>
      </c>
      <c r="W35" s="3" t="str">
        <v>FISP</v>
      </c>
      <c r="X35" s="3" t="str">
        <v>Индивидуальное профессиональное философское общество; Red Española de Filosofía — отдельная федеративная сеть организаций и учреждений.</v>
      </c>
      <c r="Y35" s="6" t="n">
        <v>46300</v>
      </c>
    </row>
    <row r="36" ht="48" customHeight="1">
      <c r="A36" s="8" t="n">
        <v>35</v>
      </c>
      <c r="B36" s="3" t="str">
        <v>Испания</v>
      </c>
      <c r="C36" s="3" t="str">
        <v>Испанская философская сеть</v>
      </c>
      <c r="D36" s="3" t="str">
        <v>Red Española de Filosofía</v>
      </c>
      <c r="E36" s="3" t="str">
        <v>Национальная федерация</v>
      </c>
      <c r="F36" s="3" t="str">
        <v>Не удалось достоверно установить</v>
      </c>
      <c r="G36" s="7" t="str">
        <v>https://redfilosofia.es/</v>
      </c>
      <c r="H36" s="3" t="str">
        <v>Не обнаружен</v>
      </c>
      <c r="I36" s="3" t="str">
        <v>Не обнаружен</v>
      </c>
      <c r="J36" s="3" t="str">
        <v>Не обнаружен</v>
      </c>
      <c r="K36" s="3" t="str">
        <v>Не обнаружен</v>
      </c>
      <c r="L36" s="3" t="str">
        <v>Не обнаружен</v>
      </c>
      <c r="M36" s="3" t="str">
        <v>Не обнаружен</v>
      </c>
      <c r="N36" s="3" t="str">
        <v>Не обнаружен</v>
      </c>
      <c r="O36" s="3" t="str">
        <v>Не обнаружен</v>
      </c>
      <c r="P36" s="3" t="str">
        <v>Не обнаружен</v>
      </c>
      <c r="Q36" s="3" t="str">
        <v>Не обнаружен</v>
      </c>
      <c r="R36" s="3" t="str">
        <v>Не обнаружен</v>
      </c>
      <c r="S36" s="9" t="str">
        <v>Не удалось достоверно установить</v>
      </c>
      <c r="T36" s="9" t="str">
        <v>Не удалось достоверно установить</v>
      </c>
      <c r="U36" s="3" t="str">
        <v>Не обнаружен</v>
      </c>
      <c r="V36" s="7" t="str">
        <v>https://www.fisp.org/members/national-societies</v>
      </c>
      <c r="W36" s="3" t="str">
        <v>FISP</v>
      </c>
      <c r="X36" s="3" t="str">
        <v>Объединяет философские организации и учреждения; отличается от индивидуального профессионального Sociedad Académica de Filosofía. Текущий руководитель сети не подтвержден.</v>
      </c>
      <c r="Y36" s="6" t="n">
        <v>46300</v>
      </c>
    </row>
    <row r="37" ht="48" customHeight="1">
      <c r="A37" s="8" t="n">
        <v>36</v>
      </c>
      <c r="B37" s="3" t="str">
        <v>Италия</v>
      </c>
      <c r="C37" s="3" t="str">
        <v>Итальянское философское общество</v>
      </c>
      <c r="D37" s="3" t="str">
        <v>Società Filosofica Italiana</v>
      </c>
      <c r="E37" s="3" t="str">
        <v>Профессиональное общество</v>
      </c>
      <c r="F37" s="3" t="str">
        <v>Самостоятельное общество; секретариат при Sapienza Università di Roma</v>
      </c>
      <c r="G37" s="7" t="str">
        <v>https://www.sfi.it/</v>
      </c>
      <c r="H37" s="3" t="str">
        <v>Bollettino della Società Filosofica Italiana</v>
      </c>
      <c r="I37" s="7" t="str">
        <v>https://www.sfi.it/258/bollettino.html</v>
      </c>
      <c r="J37" s="3" t="str">
        <v>Comunicazione filosofica</v>
      </c>
      <c r="K37" s="7" t="str">
        <v>https://www.sfi.it/259/comunicazione-filosofica.html</v>
      </c>
      <c r="L37" s="3" t="str">
        <v>Не обнаружен</v>
      </c>
      <c r="M37" s="3" t="str">
        <v>Не обнаружен</v>
      </c>
      <c r="N37" s="3" t="str">
        <v>Не обнаружен</v>
      </c>
      <c r="O37" s="3" t="str">
        <v>Не обнаружен</v>
      </c>
      <c r="P37" s="3" t="str">
        <v>Не обнаружен</v>
      </c>
      <c r="Q37" s="3" t="str">
        <v>Не обнаружен</v>
      </c>
      <c r="R37" s="3" t="str">
        <v>Не обнаружен</v>
      </c>
      <c r="S37" s="3" t="str">
        <v>Clementina Cantillo</v>
      </c>
      <c r="T37" s="3" t="str">
        <v>Президент (Presidente)</v>
      </c>
      <c r="U37" s="7" t="str">
        <v>https://www.sfi.it/files/download/2026/Brochure%20Convegno%20SFI%20Perugia%20%281%29.pdf</v>
      </c>
      <c r="V37" s="7" t="str">
        <v>https://www.sfi.it/246/sfi.html</v>
      </c>
      <c r="W37" s="3" t="str">
        <v>FISP</v>
      </c>
      <c r="X37" s="3" t="str">
        <v>Руководство подтверждено официальной программой марта 2026 года. Общенациональное объединение исследователей и преподавателей.</v>
      </c>
      <c r="Y37" s="6" t="n">
        <v>46300</v>
      </c>
    </row>
    <row r="38" ht="48" customHeight="1">
      <c r="A38" s="8" t="n">
        <v>37</v>
      </c>
      <c r="B38" s="3" t="str">
        <v>Италия</v>
      </c>
      <c r="C38" s="3" t="str">
        <v>Национальная консульта по философии</v>
      </c>
      <c r="D38" s="3" t="str">
        <v>Consulta Nazionale di Filosofia</v>
      </c>
      <c r="E38" s="3" t="str">
        <v>Федерация философских обществ</v>
      </c>
      <c r="F38" s="3" t="str">
        <v>Не удалось достоверно установить</v>
      </c>
      <c r="G38" s="7" t="str">
        <v>https://www.consultanazionalefilosofia.it/</v>
      </c>
      <c r="H38" s="3" t="str">
        <v>Не обнаружен</v>
      </c>
      <c r="I38" s="3" t="str">
        <v>Не обнаружен</v>
      </c>
      <c r="J38" s="3" t="str">
        <v>Не обнаружен</v>
      </c>
      <c r="K38" s="3" t="str">
        <v>Не обнаружен</v>
      </c>
      <c r="L38" s="3" t="str">
        <v>Не обнаружен</v>
      </c>
      <c r="M38" s="3" t="str">
        <v>Не обнаружен</v>
      </c>
      <c r="N38" s="3" t="str">
        <v>Не обнаружен</v>
      </c>
      <c r="O38" s="3" t="str">
        <v>Не обнаружен</v>
      </c>
      <c r="P38" s="3" t="str">
        <v>Не обнаружен</v>
      </c>
      <c r="Q38" s="3" t="str">
        <v>Не обнаружен</v>
      </c>
      <c r="R38" s="3" t="str">
        <v>Не обнаружен</v>
      </c>
      <c r="S38" s="9" t="str">
        <v>Не удалось достоверно установить</v>
      </c>
      <c r="T38" s="9" t="str">
        <v>Не удалось достоверно установить</v>
      </c>
      <c r="U38" s="3" t="str">
        <v>Не обнаружен</v>
      </c>
      <c r="V38" s="7" t="str">
        <v>https://www.fisp.org/members/national-societies</v>
      </c>
      <c r="W38" s="3" t="str">
        <v>FISP</v>
      </c>
      <c r="X38" s="3" t="str">
        <v>Федерация философских организаций, отдельная от SFI. На дату проверки сайт показывает режим технического обслуживания.</v>
      </c>
      <c r="Y38" s="6" t="n">
        <v>46300</v>
      </c>
    </row>
    <row r="39" ht="113" customHeight="1">
      <c r="A39" s="8" t="n">
        <v>38</v>
      </c>
      <c r="B39" s="3" t="str">
        <v>Казахстан</v>
      </c>
      <c r="C39" s="3" t="str">
        <v>Казахстанский философский конгресс</v>
      </c>
      <c r="D39" s="3" t="str">
        <v>Қазақстандық философиялық конгресс</v>
      </c>
      <c r="E39" s="3" t="str">
        <v>Общественное объединение / национальный конгресс</v>
      </c>
      <c r="F39" s="3" t="str">
        <v>Институт философии, политологии и религиоведения КН МНВО РК</v>
      </c>
      <c r="G39" s="3" t="str">
        <v>Не обнаружен</v>
      </c>
      <c r="H39" s="3" t="str">
        <v>Не обнаружен</v>
      </c>
      <c r="I39" s="3" t="str">
        <v>Не обнаружен</v>
      </c>
      <c r="J39" s="3" t="str">
        <v>Не обнаружен</v>
      </c>
      <c r="K39" s="3" t="str">
        <v>Не обнаружен</v>
      </c>
      <c r="L39" s="3" t="str">
        <v>Не обнаружен</v>
      </c>
      <c r="M39" s="3" t="str">
        <v>Не обнаружен</v>
      </c>
      <c r="N39" s="3" t="str">
        <v>Не обнаружен</v>
      </c>
      <c r="O39" s="3" t="str">
        <v>Не обнаружен</v>
      </c>
      <c r="P39" s="3" t="str">
        <v>Не обнаружен</v>
      </c>
      <c r="Q39" s="3" t="str">
        <v>Не обнаружен</v>
      </c>
      <c r="R39" s="3" t="str">
        <v>Не обнаружен</v>
      </c>
      <c r="S39" s="9" t="str">
        <v>Не удалось достоверно установить</v>
      </c>
      <c r="T39" s="9" t="str">
        <v>Не удалось достоверно установить</v>
      </c>
      <c r="U39" s="7" t="str">
        <v>https://iphras.ru/page20845806.htm</v>
      </c>
      <c r="V39" s="7" t="str">
        <v>https://al-farabi.kaznu.kz/?lang=kz&amp;page_id=2698</v>
      </c>
      <c r="W39" s="3" t="str">
        <v>FISP</v>
      </c>
      <c r="X39" s="3" t="str">
        <v>Самостоятельное общественное объединение, а не Институт. Отдельный сайт и официальные аккаунты Конгресса не подтверждены. Университетский источник использует Қазақстандық философиялық конгресс. Источники 2022 года называют президентом С.Т. Сейдуманова, биография ИФПР называет Аяжан Сағиқызы исполнительным директором. Журналы Al-Farabi и Адам әлемі издает ИФПР; непосредственная связь с Конгрессом как издателем не подтверждена: В программе ИФ РАН за апрель 2026 Аяжан Сағиқызы по-прежнему названа исполнительным директором; полномочия президента этой должностью не подтверждаются. Дополнительные подтверждения приведены на листе «Источники».</v>
      </c>
      <c r="Y39" s="6" t="n">
        <v>46300</v>
      </c>
    </row>
    <row r="40" ht="48" customHeight="1">
      <c r="A40" s="8" t="n">
        <v>39</v>
      </c>
      <c r="B40" s="3" t="str">
        <v>Камерун</v>
      </c>
      <c r="C40" s="3" t="str">
        <v>Камерунское общество философских исследований</v>
      </c>
      <c r="D40" s="3" t="str">
        <v>Société camerounaise d’études philosophiques</v>
      </c>
      <c r="E40" s="3" t="str">
        <v>Национальное научное общество</v>
      </c>
      <c r="F40" s="3" t="str">
        <v>Не удалось достоверно установить</v>
      </c>
      <c r="G40" s="3" t="str">
        <v>Не обнаружен</v>
      </c>
      <c r="H40" s="3" t="str">
        <v>Не обнаружен</v>
      </c>
      <c r="I40" s="3" t="str">
        <v>Не обнаружен</v>
      </c>
      <c r="J40" s="3" t="str">
        <v>Не обнаружен</v>
      </c>
      <c r="K40" s="3" t="str">
        <v>Не обнаружен</v>
      </c>
      <c r="L40" s="3" t="str">
        <v>Не обнаружен</v>
      </c>
      <c r="M40" s="3" t="str">
        <v>Не обнаружен</v>
      </c>
      <c r="N40" s="3" t="str">
        <v>Не обнаружен</v>
      </c>
      <c r="O40" s="3" t="str">
        <v>Не обнаружен</v>
      </c>
      <c r="P40" s="3" t="str">
        <v>Не обнаружен</v>
      </c>
      <c r="Q40" s="3" t="str">
        <v>Не обнаружен</v>
      </c>
      <c r="R40" s="3" t="str">
        <v>Не обнаружен</v>
      </c>
      <c r="S40" s="9" t="str">
        <v>Не удалось достоверно установить</v>
      </c>
      <c r="T40" s="9" t="str">
        <v>Не удалось достоверно установить</v>
      </c>
      <c r="U40" s="3" t="str">
        <v>Не обнаружен</v>
      </c>
      <c r="V40" s="7" t="str">
        <v>https://www.editions-harmattan.fr/catalogue/livre/la-reinvention-de-luniversel/81915</v>
      </c>
      <c r="W40" s="3" t="str">
        <v>Не обнаружено</v>
      </c>
      <c r="X40" s="3" t="str">
        <v>SCEPHI подтверждено академическим издателем в биографии основателя Gervais Noël Mbamfon. Основатель не автоматически признан действующим президентом. Тождество с Société Camerounaise de Philosophie из списка ASPLF не установлено.</v>
      </c>
      <c r="Y40" s="6" t="n">
        <v>46300</v>
      </c>
    </row>
    <row r="41" ht="48" customHeight="1">
      <c r="A41" s="8" t="n">
        <v>40</v>
      </c>
      <c r="B41" s="3" t="str">
        <v>Канада</v>
      </c>
      <c r="C41" s="3" t="str">
        <v>Канадская философская ассоциация</v>
      </c>
      <c r="D41" s="3" t="str">
        <v>Canadian Philosophical Association / Association canadienne de philosophie</v>
      </c>
      <c r="E41" s="3" t="str">
        <v>Профессиональная ассоциация</v>
      </c>
      <c r="F41" s="3" t="str">
        <v>Самостоятельная национальная ассоциация</v>
      </c>
      <c r="G41" s="7" t="str">
        <v>https://www.acpcpa.ca/</v>
      </c>
      <c r="H41" s="3" t="str">
        <v>Dialogue: Canadian Philosophical Review / Revue canadienne de philosophie</v>
      </c>
      <c r="I41" s="7" t="str">
        <v>https://www.acpcpa.ca/cpages/dialogue-home-1</v>
      </c>
      <c r="J41" s="3" t="str">
        <v>Не обнаружен</v>
      </c>
      <c r="K41" s="3" t="str">
        <v>Не обнаружен</v>
      </c>
      <c r="L41" s="7" t="str">
        <v>https://www.facebook.com/acpcpa.ca/</v>
      </c>
      <c r="M41" s="3" t="str">
        <v>Не обнаружен</v>
      </c>
      <c r="N41" s="3" t="str">
        <v>Не обнаружен</v>
      </c>
      <c r="O41" s="7" t="str">
        <v>https://linkedin.com/company/the-canadian-philosophical-association-l-association-canadienne-de-philosophie</v>
      </c>
      <c r="P41" s="7" t="str">
        <v>https://www.youtube.com/channel/UC1f8HrYA3GBP5lALz1myq7g</v>
      </c>
      <c r="Q41" s="3" t="str">
        <v>Не обнаружен</v>
      </c>
      <c r="R41" s="3" t="str">
        <v>Не обнаружен</v>
      </c>
      <c r="S41" s="3" t="str">
        <v>Christian Leduc</v>
      </c>
      <c r="T41" s="3" t="str">
        <v>Президент (President)</v>
      </c>
      <c r="U41" s="7" t="str">
        <v>https://www.acpcpa.ca/team/CPA-Executive-Committee</v>
      </c>
      <c r="V41" s="7" t="str">
        <v>https://www.acpcpa.ca/cpages/home-page</v>
      </c>
      <c r="W41" s="3" t="str">
        <v>FISP</v>
      </c>
      <c r="X41" s="3" t="str">
        <v>Двуязычное общеканадское объединение. Региональная Société de philosophie du Québec отдельно не включена.</v>
      </c>
      <c r="Y41" s="6" t="n">
        <v>46300</v>
      </c>
    </row>
    <row r="42" ht="48" customHeight="1">
      <c r="A42" s="8" t="n">
        <v>41</v>
      </c>
      <c r="B42" s="3" t="str">
        <v>Кения</v>
      </c>
      <c r="C42" s="3" t="str">
        <v>Философская ассоциация Кении</v>
      </c>
      <c r="D42" s="3" t="str">
        <v>Philosophical Association of Kenya</v>
      </c>
      <c r="E42" s="3" t="str">
        <v>Национальная профессиональная ассоциация</v>
      </c>
      <c r="F42" s="3" t="str">
        <v>Не удалось достоверно установить</v>
      </c>
      <c r="G42" s="3" t="str">
        <v>Не обнаружен</v>
      </c>
      <c r="H42" s="3" t="str">
        <v>Thought and Practice: A Journal of the Philosophical Association of Kenya</v>
      </c>
      <c r="I42" s="7" t="str">
        <v>https://www.ajol.info/index.php/tp</v>
      </c>
      <c r="J42" s="3" t="str">
        <v>Не обнаружен</v>
      </c>
      <c r="K42" s="3" t="str">
        <v>Не обнаружен</v>
      </c>
      <c r="L42" s="3" t="str">
        <v>Не обнаружен</v>
      </c>
      <c r="M42" s="3" t="str">
        <v>Не обнаружен</v>
      </c>
      <c r="N42" s="3" t="str">
        <v>Не обнаружен</v>
      </c>
      <c r="O42" s="3" t="str">
        <v>Не обнаружен</v>
      </c>
      <c r="P42" s="3" t="str">
        <v>Не обнаружен</v>
      </c>
      <c r="Q42" s="3" t="str">
        <v>Не обнаружен</v>
      </c>
      <c r="R42" s="3" t="str">
        <v>Не обнаружен</v>
      </c>
      <c r="S42" s="9" t="str">
        <v>Не удалось достоверно установить</v>
      </c>
      <c r="T42" s="9" t="str">
        <v>Не удалось достоверно установить</v>
      </c>
      <c r="U42" s="3" t="str">
        <v>Не обнаружен</v>
      </c>
      <c r="V42" s="7" t="str">
        <v>https://philosophy.uonbi.ac.ke/node/165</v>
      </c>
      <c r="W42" s="3" t="str">
        <v>Не обнаружено</v>
      </c>
      <c r="X42" s="3" t="str">
        <v>Самостоятельная ассоциация; журнал и организация подтверждены официальным сайтом Университета Найроби. Страница кафедры не указана как собственный сайт ассоциации.</v>
      </c>
      <c r="Y42" s="6" t="n">
        <v>46300</v>
      </c>
    </row>
    <row r="43" ht="48" customHeight="1">
      <c r="A43" s="8" t="n">
        <v>42</v>
      </c>
      <c r="B43" s="3" t="str">
        <v>Колумбия</v>
      </c>
      <c r="C43" s="3" t="str">
        <v>Колумбийское философское общество</v>
      </c>
      <c r="D43" s="3" t="str">
        <v>Sociedad Colombiana de Filosofía</v>
      </c>
      <c r="E43" s="3" t="str">
        <v>Профессиональное общество</v>
      </c>
      <c r="F43" s="3" t="str">
        <v>Не удалось достоверно установить</v>
      </c>
      <c r="G43" s="7" t="str">
        <v>https://www.socolfil.org/</v>
      </c>
      <c r="H43" s="3" t="str">
        <v>Не обнаружен</v>
      </c>
      <c r="I43" s="3" t="str">
        <v>Не обнаружен</v>
      </c>
      <c r="J43" s="3" t="str">
        <v>Не обнаружен</v>
      </c>
      <c r="K43" s="3" t="str">
        <v>Не обнаружен</v>
      </c>
      <c r="L43" s="7" t="str">
        <v>https://www.facebook.com/socolfil.org</v>
      </c>
      <c r="M43" s="3" t="str">
        <v>Не обнаружен</v>
      </c>
      <c r="N43" s="7" t="str">
        <v>https://twitter.com/socolfil</v>
      </c>
      <c r="O43" s="3" t="str">
        <v>Не обнаружен</v>
      </c>
      <c r="P43" s="7" t="str">
        <v>https://www.youtube.com/c/socolfilorg</v>
      </c>
      <c r="Q43" s="3" t="str">
        <v>Не обнаружен</v>
      </c>
      <c r="R43" s="3" t="str">
        <v>Не обнаружен</v>
      </c>
      <c r="S43" s="3" t="str">
        <v>Angel Rivera Novoa</v>
      </c>
      <c r="T43" s="3" t="str">
        <v>Президент (Presidente)</v>
      </c>
      <c r="U43" s="7" t="str">
        <v>https://www.socolfil.org/contacto/17-scf/junta-directiva-scf</v>
      </c>
      <c r="V43" s="7" t="str">
        <v>https://www.socolfil.org/scf/presentacion</v>
      </c>
      <c r="W43" s="3" t="str">
        <v>Не обнаружено</v>
      </c>
      <c r="X43" s="3" t="str">
        <v>Широкопрофильное общенациональное общество; национальный конгресс 2026 года. В FISP найдено региональное AFCA, его членство не перенесено на SCF. Ideas y Valores не приписан обществу без подтверждения издательской связи.</v>
      </c>
      <c r="Y43" s="6" t="n">
        <v>46300</v>
      </c>
    </row>
    <row r="44" ht="48" customHeight="1">
      <c r="A44" s="8" t="n">
        <v>43</v>
      </c>
      <c r="B44" s="3" t="str">
        <v>Конго</v>
      </c>
      <c r="C44" s="3" t="str">
        <v>Конголезское философское общество «София»</v>
      </c>
      <c r="D44" s="3" t="str">
        <v>Société Congolaise de Philosophie (Sophia)</v>
      </c>
      <c r="E44" s="3" t="str">
        <v>Национальное научное общество</v>
      </c>
      <c r="F44" s="3" t="str">
        <v>Не удалось достоверно установить</v>
      </c>
      <c r="G44" s="3" t="str">
        <v>Не обнаружен</v>
      </c>
      <c r="H44" s="3" t="str">
        <v>Не обнаружен</v>
      </c>
      <c r="I44" s="3" t="str">
        <v>Не обнаружен</v>
      </c>
      <c r="J44" s="3" t="str">
        <v>Не обнаружен</v>
      </c>
      <c r="K44" s="3" t="str">
        <v>Не обнаружен</v>
      </c>
      <c r="L44" s="3" t="str">
        <v>Не обнаружен</v>
      </c>
      <c r="M44" s="3" t="str">
        <v>Не обнаружен</v>
      </c>
      <c r="N44" s="3" t="str">
        <v>Не обнаружен</v>
      </c>
      <c r="O44" s="3" t="str">
        <v>Не обнаружен</v>
      </c>
      <c r="P44" s="3" t="str">
        <v>Не обнаружен</v>
      </c>
      <c r="Q44" s="3" t="str">
        <v>Не обнаружен</v>
      </c>
      <c r="R44" s="3" t="str">
        <v>Не обнаружен</v>
      </c>
      <c r="S44" s="9" t="str">
        <v>Не удалось достоверно установить</v>
      </c>
      <c r="T44" s="9" t="str">
        <v>Не удалось достоверно установить</v>
      </c>
      <c r="U44" s="3" t="str">
        <v>Не обнаружен</v>
      </c>
      <c r="V44" s="7" t="str">
        <v>https://asplf.org/liste-des-societes/</v>
      </c>
      <c r="W44" s="3" t="str">
        <v>ASPLF (Ассоциация философских обществ французского языка)</v>
      </c>
      <c r="X44" s="3" t="str">
        <v>Республика Конго (Браззавиль), не ДР Конго. Национальное общество подтверждено ASPLF; современное руководство не установлено.</v>
      </c>
      <c r="Y44" s="6" t="n">
        <v>46300</v>
      </c>
    </row>
    <row r="45" ht="48" customHeight="1">
      <c r="A45" s="8" t="n">
        <v>44</v>
      </c>
      <c r="B45" s="3" t="str">
        <v>Косово</v>
      </c>
      <c r="C45" s="3" t="str">
        <v>Ассоциация философов Косово</v>
      </c>
      <c r="D45" s="3" t="str">
        <v>Shoqata e Filozofëve të Kosovës</v>
      </c>
      <c r="E45" s="3" t="str">
        <v>Национальная философская ассоциация</v>
      </c>
      <c r="F45" s="3" t="str">
        <v>Не удалось достоверно установить</v>
      </c>
      <c r="G45" s="3" t="str">
        <v>Не обнаружен</v>
      </c>
      <c r="H45" s="3" t="str">
        <v>Не обнаружен</v>
      </c>
      <c r="I45" s="3" t="str">
        <v>Не обнаружен</v>
      </c>
      <c r="J45" s="3" t="str">
        <v>Не обнаружен</v>
      </c>
      <c r="K45" s="3" t="str">
        <v>Не обнаружен</v>
      </c>
      <c r="L45" s="3" t="str">
        <v>Не обнаружен</v>
      </c>
      <c r="M45" s="3" t="str">
        <v>Не обнаружен</v>
      </c>
      <c r="N45" s="3" t="str">
        <v>Не обнаружен</v>
      </c>
      <c r="O45" s="3" t="str">
        <v>Не обнаружен</v>
      </c>
      <c r="P45" s="3" t="str">
        <v>Не обнаружен</v>
      </c>
      <c r="Q45" s="3" t="str">
        <v>Не обнаружен</v>
      </c>
      <c r="R45" s="3" t="str">
        <v>Не обнаружен</v>
      </c>
      <c r="S45" s="9" t="str">
        <v>Не удалось достоверно установить</v>
      </c>
      <c r="T45" s="9" t="str">
        <v>Не удалось достоверно установить</v>
      </c>
      <c r="U45" s="3" t="str">
        <v>Не обнаружен</v>
      </c>
      <c r="V45" s="7" t="str">
        <v>https://uni-pr.edu/lajme/kujtohet-kanti-ne-kohen-moderne-qe-po-i-le-pak-vend-filozofise</v>
      </c>
      <c r="W45" s="3" t="str">
        <v>FISP</v>
      </c>
      <c r="X45" s="3" t="str">
        <v>Дополнительный охват вне базового списка 195 государств — членов и наблюдателей ООН. В первичном источнике ноября 2024 председатель Ridvan Emini; подтверждение на 2026 не найдено.</v>
      </c>
      <c r="Y45" s="6" t="n">
        <v>46300</v>
      </c>
    </row>
    <row r="46" ht="48" customHeight="1">
      <c r="A46" s="8" t="n">
        <v>45</v>
      </c>
      <c r="B46" s="3" t="str">
        <v>Коста-Рика</v>
      </c>
      <c r="C46" s="3" t="str">
        <v>Костариканская философская ассоциация</v>
      </c>
      <c r="D46" s="3" t="str">
        <v>Asociación Costarricense de Filosofía</v>
      </c>
      <c r="E46" s="3" t="str">
        <v>Профессиональная ассоциация</v>
      </c>
      <c r="F46" s="3" t="str">
        <v>Не удалось достоверно установить</v>
      </c>
      <c r="G46" s="7" t="str">
        <v>https://asociacioncostarricensedefilosofia.com/</v>
      </c>
      <c r="H46" s="3" t="str">
        <v>Azur. Revista Centroamericana de Filosofía</v>
      </c>
      <c r="I46" s="7" t="str">
        <v>https://azurrevista.com/</v>
      </c>
      <c r="J46" s="3" t="str">
        <v>Не обнаружен</v>
      </c>
      <c r="K46" s="3" t="str">
        <v>Не обнаружен</v>
      </c>
      <c r="L46" s="3" t="str">
        <v>Не обнаружен</v>
      </c>
      <c r="M46" s="3" t="str">
        <v>Не обнаружен</v>
      </c>
      <c r="N46" s="3" t="str">
        <v>Не обнаружен</v>
      </c>
      <c r="O46" s="3" t="str">
        <v>Не обнаружен</v>
      </c>
      <c r="P46" s="3" t="str">
        <v>Не обнаружен</v>
      </c>
      <c r="Q46" s="3" t="str">
        <v>Не обнаружен</v>
      </c>
      <c r="R46" s="3" t="str">
        <v>Не обнаружен</v>
      </c>
      <c r="S46" s="3" t="str">
        <v>Álvaro Carvajal Villaplana</v>
      </c>
      <c r="T46" s="3" t="str">
        <v>Президент (Presidencia)</v>
      </c>
      <c r="U46" s="7" t="str">
        <v>https://asociacioncostarricensedefilosofia.com/junta-directiva/</v>
      </c>
      <c r="V46" s="7" t="str">
        <v>https://rediberoamericanafilosofia.com/acafi/</v>
      </c>
      <c r="W46" s="3" t="str">
        <v>ACAFI</v>
      </c>
      <c r="X46" s="3" t="str">
        <v>Действующий президент и почетный президент Luis Camacho Naranjo — разные должности. Национальное объединение с 1958 года. Azur — совместный официальный орган национальных ассоциаций ACAFI.</v>
      </c>
      <c r="Y46" s="6" t="n">
        <v>46300</v>
      </c>
    </row>
    <row r="47" ht="48" customHeight="1">
      <c r="A47" s="8" t="n">
        <v>46</v>
      </c>
      <c r="B47" s="3" t="str">
        <v>Кот-д’Ивуар</v>
      </c>
      <c r="C47" s="3" t="str">
        <v>Ивуарийская ассоциация преподавателей философии</v>
      </c>
      <c r="D47" s="3" t="str">
        <v>Association Ivoirienne des Professeurs de Philosophie</v>
      </c>
      <c r="E47" s="3" t="str">
        <v>Национальная профессиональная ассоциация</v>
      </c>
      <c r="F47" s="3" t="str">
        <v>Не удалось достоверно установить</v>
      </c>
      <c r="G47" s="3" t="str">
        <v>Не обнаружен</v>
      </c>
      <c r="H47" s="3" t="str">
        <v>Не обнаружен</v>
      </c>
      <c r="I47" s="3" t="str">
        <v>Не обнаружен</v>
      </c>
      <c r="J47" s="3" t="str">
        <v>Не обнаружен</v>
      </c>
      <c r="K47" s="3" t="str">
        <v>Не обнаружен</v>
      </c>
      <c r="L47" s="3" t="str">
        <v>Не обнаружен</v>
      </c>
      <c r="M47" s="3" t="str">
        <v>Не обнаружен</v>
      </c>
      <c r="N47" s="3" t="str">
        <v>Не обнаружен</v>
      </c>
      <c r="O47" s="3" t="str">
        <v>Не обнаружен</v>
      </c>
      <c r="P47" s="3" t="str">
        <v>Не обнаружен</v>
      </c>
      <c r="Q47" s="3" t="str">
        <v>Не обнаружен</v>
      </c>
      <c r="R47" s="3" t="str">
        <v>Не обнаружен</v>
      </c>
      <c r="S47" s="9" t="str">
        <v>Не удалось достоверно установить</v>
      </c>
      <c r="T47" s="9" t="str">
        <v>Не удалось достоверно установить</v>
      </c>
      <c r="U47" s="3" t="str">
        <v>Не обнаружен</v>
      </c>
      <c r="V47" s="7" t="str">
        <v>https://www.fisp.org/members/national-societies</v>
      </c>
      <c r="W47" s="3" t="str">
        <v>FISP</v>
      </c>
      <c r="X47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47" s="6" t="n">
        <v>46300</v>
      </c>
    </row>
    <row r="48" ht="48" customHeight="1">
      <c r="A48" s="8" t="n">
        <v>47</v>
      </c>
      <c r="B48" s="3" t="str">
        <v>Куба</v>
      </c>
      <c r="C48" s="3" t="str">
        <v>Кубинское общество философских исследований</v>
      </c>
      <c r="D48" s="3" t="str">
        <v>Sociedad Cubana de Investigaciones Filosóficas</v>
      </c>
      <c r="E48" s="3" t="str">
        <v>Профессиональное научное общество</v>
      </c>
      <c r="F48" s="3" t="str">
        <v>Не удалось достоверно установить</v>
      </c>
      <c r="G48" s="7" t="str">
        <v>https://scifilosoficas.blogspot.com/</v>
      </c>
      <c r="H48" s="3" t="str">
        <v>Azur. Revista Centroamericana de Filosofía</v>
      </c>
      <c r="I48" s="7" t="str">
        <v>https://azurrevista.com/</v>
      </c>
      <c r="J48" s="3" t="str">
        <v>Не обнаружен</v>
      </c>
      <c r="K48" s="3" t="str">
        <v>Не обнаружен</v>
      </c>
      <c r="L48" s="3" t="str">
        <v>Не обнаружен</v>
      </c>
      <c r="M48" s="3" t="str">
        <v>Не обнаружен</v>
      </c>
      <c r="N48" s="3" t="str">
        <v>Не обнаружен</v>
      </c>
      <c r="O48" s="3" t="str">
        <v>Не обнаружен</v>
      </c>
      <c r="P48" s="3" t="str">
        <v>Не обнаружен</v>
      </c>
      <c r="Q48" s="3" t="str">
        <v>Не обнаружен</v>
      </c>
      <c r="R48" s="3" t="str">
        <v>Не обнаружен</v>
      </c>
      <c r="S48" s="9" t="str">
        <v>Не удалось достоверно установить</v>
      </c>
      <c r="T48" s="9" t="str">
        <v>Не удалось достоверно установить</v>
      </c>
      <c r="U48" s="3" t="str">
        <v>Не обнаружен</v>
      </c>
      <c r="V48" s="7" t="str">
        <v>https://www.fisp.org/members/national-societies</v>
      </c>
      <c r="W48" s="3" t="str">
        <v>FISP; ACAFI</v>
      </c>
      <c r="X48" s="3" t="str">
        <v>Azur — совместный официальный орган национальных ассоциаций ACAFI.</v>
      </c>
      <c r="Y48" s="6" t="n">
        <v>46300</v>
      </c>
    </row>
    <row r="49" ht="61" customHeight="1">
      <c r="A49" s="8" t="n">
        <v>48</v>
      </c>
      <c r="B49" s="3" t="str">
        <v>Ливан</v>
      </c>
      <c r="C49" s="3" t="str">
        <v>Ливанское философское общество</v>
      </c>
      <c r="D49" s="3" t="str">
        <v>الجمعية الفلسفية اللبنانية</v>
      </c>
      <c r="E49" s="3" t="str">
        <v>Профессиональное философское общество</v>
      </c>
      <c r="F49" s="3" t="str">
        <v>При факультете литературы и гуманитарных наук Ливанского университета, первый филиал</v>
      </c>
      <c r="G49" s="3" t="str">
        <v>Не обнаружен</v>
      </c>
      <c r="H49" s="3" t="str">
        <v>Не обнаружен</v>
      </c>
      <c r="I49" s="3" t="str">
        <v>Не обнаружен</v>
      </c>
      <c r="J49" s="3" t="str">
        <v>Не обнаружен</v>
      </c>
      <c r="K49" s="3" t="str">
        <v>Не обнаружен</v>
      </c>
      <c r="L49" s="3" t="str">
        <v>Не обнаружен</v>
      </c>
      <c r="M49" s="3" t="str">
        <v>Не обнаружен</v>
      </c>
      <c r="N49" s="3" t="str">
        <v>Не обнаружен</v>
      </c>
      <c r="O49" s="3" t="str">
        <v>Не обнаружен</v>
      </c>
      <c r="P49" s="3" t="str">
        <v>Не обнаружен</v>
      </c>
      <c r="Q49" s="3" t="str">
        <v>Не обнаружен</v>
      </c>
      <c r="R49" s="3" t="str">
        <v>Не обнаружен</v>
      </c>
      <c r="S49" s="9" t="str">
        <v>Не удалось достоверно установить</v>
      </c>
      <c r="T49" s="9" t="str">
        <v>Не удалось достоверно установить</v>
      </c>
      <c r="U49" s="3" t="str">
        <v>Не обнаружен</v>
      </c>
      <c r="V49" s="7" t="str">
        <v>https://ul.edu.lb/ar/teachers/%D8%B3%D8%B9%D8%A7%D8%AF-%D9%85%D8%AD%D9%85%D8%AF-%D8%AA%D9%88%D9%81%D9%8A%D9%82-%D8%A7%D9%84%D8%AD%D9%83%D9%8A%D9%85/2869</v>
      </c>
      <c r="W49" s="3" t="str">
        <v>Не обнаружено</v>
      </c>
      <c r="X49" s="3" t="str">
        <v>Университет подтверждает существование отдельного общества и его правления; это общественное объединение, а не кафедра. В некрологе университета 2020 названы создание в 2012 и общая философская просветительская цель. Актуальное управление, самостоятельный сайт и юридический статус требуют уточнения.</v>
      </c>
      <c r="Y49" s="6" t="n">
        <v>46300</v>
      </c>
    </row>
    <row r="50" ht="48" customHeight="1">
      <c r="A50" s="8" t="n">
        <v>49</v>
      </c>
      <c r="B50" s="3" t="str">
        <v>Ливия</v>
      </c>
      <c r="C50" s="3" t="str">
        <v>Ливийское философское общество</v>
      </c>
      <c r="D50" s="3" t="str">
        <v>الجمعية الفلسفية الليبية</v>
      </c>
      <c r="E50" s="3" t="str">
        <v>Философское общество</v>
      </c>
      <c r="F50" s="3" t="str">
        <v>Не удалось достоверно установить</v>
      </c>
      <c r="G50" s="3" t="str">
        <v>Не обнаружен</v>
      </c>
      <c r="H50" s="3" t="str">
        <v>Не обнаружен</v>
      </c>
      <c r="I50" s="3" t="str">
        <v>Не обнаружен</v>
      </c>
      <c r="J50" s="3" t="str">
        <v>Не обнаружен</v>
      </c>
      <c r="K50" s="3" t="str">
        <v>Не обнаружен</v>
      </c>
      <c r="L50" s="3" t="str">
        <v>Не обнаружен</v>
      </c>
      <c r="M50" s="3" t="str">
        <v>Не обнаружен</v>
      </c>
      <c r="N50" s="3" t="str">
        <v>Не обнаружен</v>
      </c>
      <c r="O50" s="3" t="str">
        <v>Не обнаружен</v>
      </c>
      <c r="P50" s="3" t="str">
        <v>Не обнаружен</v>
      </c>
      <c r="Q50" s="3" t="str">
        <v>Не обнаружен</v>
      </c>
      <c r="R50" s="3" t="str">
        <v>Не обнаружен</v>
      </c>
      <c r="S50" s="9" t="str">
        <v>Не удалось достоверно установить</v>
      </c>
      <c r="T50" s="9" t="str">
        <v>Не удалось достоверно установить</v>
      </c>
      <c r="U50" s="3" t="str">
        <v>Не обнаружен</v>
      </c>
      <c r="V50" s="7" t="str">
        <v>https://liasinstitute.com/ar/najib-elhassadi/</v>
      </c>
      <c r="W50" s="3" t="str">
        <v>Не обнаружено</v>
      </c>
      <c r="X50" s="3" t="str">
        <v>Существование подтверждается академической биографией в Ливийском институте перспективных исследований. В источнике 2022/2023 رئيس الجمعية — نجيب المحجوب الحصادي; действующее руководство и активность на 2026 не установлены.</v>
      </c>
      <c r="Y50" s="6" t="n">
        <v>46300</v>
      </c>
    </row>
    <row r="51" ht="48" customHeight="1">
      <c r="A51" s="8" t="n">
        <v>50</v>
      </c>
      <c r="B51" s="3" t="str">
        <v>Литва</v>
      </c>
      <c r="C51" s="3" t="str">
        <v>Общество философов Литвы</v>
      </c>
      <c r="D51" s="3" t="str">
        <v>Lietuvos filosofų draugija</v>
      </c>
      <c r="E51" s="3" t="str">
        <v>Профессиональное общество</v>
      </c>
      <c r="F51" s="3" t="str">
        <v>Не удалось достоверно установить</v>
      </c>
      <c r="G51" s="3" t="str">
        <v>Не обнаружен</v>
      </c>
      <c r="H51" s="3" t="str">
        <v>Не обнаружен</v>
      </c>
      <c r="I51" s="3" t="str">
        <v>Не обнаружен</v>
      </c>
      <c r="J51" s="3" t="str">
        <v>Не обнаружен</v>
      </c>
      <c r="K51" s="3" t="str">
        <v>Не обнаружен</v>
      </c>
      <c r="L51" s="3" t="str">
        <v>Не обнаружен</v>
      </c>
      <c r="M51" s="3" t="str">
        <v>Не обнаружен</v>
      </c>
      <c r="N51" s="3" t="str">
        <v>Не обнаружен</v>
      </c>
      <c r="O51" s="3" t="str">
        <v>Не обнаружен</v>
      </c>
      <c r="P51" s="3" t="str">
        <v>Не обнаружен</v>
      </c>
      <c r="Q51" s="3" t="str">
        <v>Не обнаружен</v>
      </c>
      <c r="R51" s="3" t="str">
        <v>Не обнаружен</v>
      </c>
      <c r="S51" s="9" t="str">
        <v>Не удалось достоверно установить</v>
      </c>
      <c r="T51" s="9" t="str">
        <v>Не удалось достоверно установить</v>
      </c>
      <c r="U51" s="3" t="str">
        <v>Не обнаружен</v>
      </c>
      <c r="V51" s="7" t="str">
        <v>https://www.lkti.lt/naujienos/kasmetine-lietuvos-filosofu-draugijos-konferencija-2026/</v>
      </c>
      <c r="W51" s="3" t="str">
        <v>Не обнаружено</v>
      </c>
      <c r="X51" s="3" t="str">
        <v>Национальная ежегодная конференция 2026 года совместно с Литовским институтом исследований культуры. Самостоятельное общество; сайт и руководство требуют дополнительной проверки.</v>
      </c>
      <c r="Y51" s="6" t="n">
        <v>46300</v>
      </c>
    </row>
    <row r="52" ht="48" customHeight="1">
      <c r="A52" s="8" t="n">
        <v>51</v>
      </c>
      <c r="B52" s="3" t="str">
        <v>Люксембург</v>
      </c>
      <c r="C52" s="3" t="str">
        <v>Философский кружок Люксембурга</v>
      </c>
      <c r="D52" s="3" t="str">
        <v>Cercle de Philosophie</v>
      </c>
      <c r="E52" s="3" t="str">
        <v>Национальное философское общество</v>
      </c>
      <c r="F52" s="3" t="str">
        <v>Не удалось достоверно установить</v>
      </c>
      <c r="G52" s="3" t="str">
        <v>Не обнаружен</v>
      </c>
      <c r="H52" s="3" t="str">
        <v>Не обнаружен</v>
      </c>
      <c r="I52" s="3" t="str">
        <v>Не обнаружен</v>
      </c>
      <c r="J52" s="3" t="str">
        <v>Не обнаружен</v>
      </c>
      <c r="K52" s="3" t="str">
        <v>Не обнаружен</v>
      </c>
      <c r="L52" s="3" t="str">
        <v>Не обнаружен</v>
      </c>
      <c r="M52" s="3" t="str">
        <v>Не обнаружен</v>
      </c>
      <c r="N52" s="3" t="str">
        <v>Не обнаружен</v>
      </c>
      <c r="O52" s="3" t="str">
        <v>Не обнаружен</v>
      </c>
      <c r="P52" s="3" t="str">
        <v>Не обнаружен</v>
      </c>
      <c r="Q52" s="3" t="str">
        <v>Не обнаружен</v>
      </c>
      <c r="R52" s="3" t="str">
        <v>Не обнаружен</v>
      </c>
      <c r="S52" s="9" t="str">
        <v>Не удалось достоверно установить</v>
      </c>
      <c r="T52" s="9" t="str">
        <v>Не удалось достоверно установить</v>
      </c>
      <c r="U52" s="3" t="str">
        <v>Не обнаружен</v>
      </c>
      <c r="V52" s="7" t="str">
        <v>https://www.fisp.org/members/national-societies</v>
      </c>
      <c r="W52" s="3" t="str">
        <v>FISP</v>
      </c>
      <c r="X52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52" s="6" t="n">
        <v>46300</v>
      </c>
    </row>
    <row r="53" ht="48" customHeight="1">
      <c r="A53" s="8" t="n">
        <v>52</v>
      </c>
      <c r="B53" s="3" t="str">
        <v>Малайзия</v>
      </c>
      <c r="C53" s="3" t="str">
        <v>Малайзийская ассоциация философского образования и мышления</v>
      </c>
      <c r="D53" s="3" t="str">
        <v>Persatuan Pendidikan Falsafah dan Pemikiran Malaysia</v>
      </c>
      <c r="E53" s="3" t="str">
        <v>Национальная профессиональная ассоциация</v>
      </c>
      <c r="F53" s="3" t="str">
        <v>Не удалось достоверно установить</v>
      </c>
      <c r="G53" s="7" t="str">
        <v>https://ppfpm.org/</v>
      </c>
      <c r="H53" s="3" t="str">
        <v>Не обнаружен</v>
      </c>
      <c r="I53" s="3" t="str">
        <v>Не обнаружен</v>
      </c>
      <c r="J53" s="3" t="str">
        <v>Не обнаружен</v>
      </c>
      <c r="K53" s="3" t="str">
        <v>Не обнаружен</v>
      </c>
      <c r="L53" s="3" t="str">
        <v>Не обнаружен</v>
      </c>
      <c r="M53" s="3" t="str">
        <v>Не обнаружен</v>
      </c>
      <c r="N53" s="3" t="str">
        <v>Не обнаружен</v>
      </c>
      <c r="O53" s="3" t="str">
        <v>Не обнаружен</v>
      </c>
      <c r="P53" s="3" t="str">
        <v>Не обнаружен</v>
      </c>
      <c r="Q53" s="3" t="str">
        <v>Не обнаружен</v>
      </c>
      <c r="R53" s="3" t="str">
        <v>Не обнаружен</v>
      </c>
      <c r="S53" s="9" t="str">
        <v>Не удалось достоверно установить</v>
      </c>
      <c r="T53" s="9" t="str">
        <v>Не удалось достоверно установить</v>
      </c>
      <c r="U53" s="7" t="str">
        <v>https://ppfpm.org/tentang-kami/</v>
      </c>
      <c r="V53" s="7" t="str">
        <v>https://ppfpm.org/tentang-kami/</v>
      </c>
      <c r="W53" s="3" t="str">
        <v>FISP</v>
      </c>
      <c r="X53" s="3" t="str">
        <v>FISP указывает прежний WordPress; найден собственный домен ppfpm.org. Страница руководства относится к 2023–2024 годам; Mohammad Alinor Abdul Kadir не перенесен как действующий председатель.</v>
      </c>
      <c r="Y53" s="6" t="n">
        <v>46300</v>
      </c>
    </row>
    <row r="54" ht="74" customHeight="1">
      <c r="A54" s="8" t="n">
        <v>53</v>
      </c>
      <c r="B54" s="3" t="str">
        <v>Мальта</v>
      </c>
      <c r="C54" s="3" t="str">
        <v>Фонд распространения философии</v>
      </c>
      <c r="D54" s="3" t="str">
        <v>Philosophy Sharing Foundation</v>
      </c>
      <c r="E54" s="3" t="str">
        <v>Общенациональный философский фонд</v>
      </c>
      <c r="F54" s="3" t="str">
        <v>Не удалось достоверно установить</v>
      </c>
      <c r="G54" s="7" t="str">
        <v>https://www.philosophysharing.org/</v>
      </c>
      <c r="H54" s="3" t="str">
        <v>SHARE</v>
      </c>
      <c r="I54" s="7" t="str">
        <v>https://www.philosophysharing.org/publications</v>
      </c>
      <c r="J54" s="3" t="str">
        <v>Не обнаружен</v>
      </c>
      <c r="K54" s="3" t="str">
        <v>Не обнаружен</v>
      </c>
      <c r="L54" s="7" t="str">
        <v>https://www.facebook.com/Philosophy-Sharing-Malta-1173724952658306/</v>
      </c>
      <c r="M54" s="7" t="str">
        <v>https://www.instagram.com/philosophysharingmalta/</v>
      </c>
      <c r="N54" s="3" t="str">
        <v>Не обнаружен</v>
      </c>
      <c r="O54" s="3" t="str">
        <v>Не обнаружен</v>
      </c>
      <c r="P54" s="3" t="str">
        <v>Не обнаружен</v>
      </c>
      <c r="Q54" s="3" t="str">
        <v>Не обнаружен</v>
      </c>
      <c r="R54" s="3" t="str">
        <v>Не обнаружен</v>
      </c>
      <c r="S54" s="3" t="str">
        <v>Max Cassar</v>
      </c>
      <c r="T54" s="3" t="str">
        <v>Председатель (Chairperson)</v>
      </c>
      <c r="U54" s="7" t="str">
        <v>https://www.philosophysharing.org/about-2</v>
      </c>
      <c r="V54" s="7" t="str">
        <v>https://www.philosophysharing.org/about-2</v>
      </c>
      <c r="W54" s="3" t="str">
        <v>FISP</v>
      </c>
      <c r="X54" s="3" t="str">
        <v>Исключение:открытое философское сообщество академических философов и любителей, член FISP; выполняет общенациональную функцию, но не является исключительно профессиональной ассоциацией. Текущая страница About прямо называет действующий комитет. Ссылка X / Twitter, опубликованная обществом, при проверке вернула HTTP 404; действующий аккаунт не подтвержден.</v>
      </c>
      <c r="Y54" s="6" t="n">
        <v>46300</v>
      </c>
    </row>
    <row r="55" ht="48" customHeight="1">
      <c r="A55" s="8" t="n">
        <v>54</v>
      </c>
      <c r="B55" s="3" t="str">
        <v>Марокко</v>
      </c>
      <c r="C55" s="3" t="str">
        <v>Марокканская философская ассоциация</v>
      </c>
      <c r="D55" s="3" t="str">
        <v>Association Marocaine de Philosophie</v>
      </c>
      <c r="E55" s="3" t="str">
        <v>Профессиональная ассоциация</v>
      </c>
      <c r="F55" s="3" t="str">
        <v>Не удалось достоверно установить</v>
      </c>
      <c r="G55" s="3" t="str">
        <v>Не обнаружен</v>
      </c>
      <c r="H55" s="3" t="str">
        <v>Не обнаружен</v>
      </c>
      <c r="I55" s="3" t="str">
        <v>Не обнаружен</v>
      </c>
      <c r="J55" s="3" t="str">
        <v>Не обнаружен</v>
      </c>
      <c r="K55" s="3" t="str">
        <v>Не обнаружен</v>
      </c>
      <c r="L55" s="3" t="str">
        <v>Не обнаружен</v>
      </c>
      <c r="M55" s="3" t="str">
        <v>Не обнаружен</v>
      </c>
      <c r="N55" s="3" t="str">
        <v>Не обнаружен</v>
      </c>
      <c r="O55" s="3" t="str">
        <v>Не обнаружен</v>
      </c>
      <c r="P55" s="3" t="str">
        <v>Не обнаружен</v>
      </c>
      <c r="Q55" s="3" t="str">
        <v>Не обнаружен</v>
      </c>
      <c r="R55" s="3" t="str">
        <v>Не обнаружен</v>
      </c>
      <c r="S55" s="9" t="str">
        <v>Не удалось достоверно установить</v>
      </c>
      <c r="T55" s="9" t="str">
        <v>Не удалось достоверно установить</v>
      </c>
      <c r="U55" s="3" t="str">
        <v>Не обнаружен</v>
      </c>
      <c r="V55" s="7" t="str">
        <v>https://www.fisp.org/members/national-societies</v>
      </c>
      <c r="W55" s="3" t="str">
        <v>FISP</v>
      </c>
      <c r="X55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55" s="6" t="n">
        <v>46300</v>
      </c>
    </row>
    <row r="56" ht="74" customHeight="1">
      <c r="A56" s="8" t="n">
        <v>55</v>
      </c>
      <c r="B56" s="3" t="str">
        <v>Мексика</v>
      </c>
      <c r="C56" s="3" t="str">
        <v>Мексиканское философское общество</v>
      </c>
      <c r="D56" s="3" t="str">
        <v>Sociedad Mexicana de Filosofía</v>
      </c>
      <c r="E56" s="3" t="str">
        <v>Профессиональное общество</v>
      </c>
      <c r="F56" s="3" t="str">
        <v>Не удалось достоверно установить</v>
      </c>
      <c r="G56" s="7" t="str">
        <v>https://www.sociedadmexicanadefilosofia.org/</v>
      </c>
      <c r="H56" s="3" t="str">
        <v>Не обнаружен</v>
      </c>
      <c r="I56" s="3" t="str">
        <v>Не обнаружен</v>
      </c>
      <c r="J56" s="3" t="str">
        <v>Не обнаружен</v>
      </c>
      <c r="K56" s="3" t="str">
        <v>Не обнаружен</v>
      </c>
      <c r="L56" s="3" t="str">
        <v>Не обнаружен</v>
      </c>
      <c r="M56" s="3" t="str">
        <v>Не обнаружен</v>
      </c>
      <c r="N56" s="3" t="str">
        <v>Не обнаружен</v>
      </c>
      <c r="O56" s="3" t="str">
        <v>Не обнаружен</v>
      </c>
      <c r="P56" s="3" t="str">
        <v>Не обнаружен</v>
      </c>
      <c r="Q56" s="3" t="str">
        <v>Не обнаружен</v>
      </c>
      <c r="R56" s="3" t="str">
        <v>Не обнаружен</v>
      </c>
      <c r="S56" s="9" t="str">
        <v>Не удалось достоверно установить</v>
      </c>
      <c r="T56" s="9" t="str">
        <v>Не удалось достоверно установить</v>
      </c>
      <c r="U56" s="3" t="str">
        <v>Не обнаружен</v>
      </c>
      <c r="V56" s="7" t="str">
        <v>https://www.fisp.org/members/national-societies</v>
      </c>
      <c r="W56" s="3" t="str">
        <v>FISP</v>
      </c>
      <c r="X56" s="3" t="str">
        <v>Отдельное общество от Asociación Filosófica de México; оба перечислены FISP. Собственный сайт общества не загрузился, современная деятельность и структура требуют уточнения.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 Доступ к официальному сайту: При проверке не открылся; HTTP 502.</v>
      </c>
      <c r="Y56" s="6" t="n">
        <v>46300</v>
      </c>
    </row>
    <row r="57" ht="48" customHeight="1">
      <c r="A57" s="8" t="n">
        <v>56</v>
      </c>
      <c r="B57" s="3" t="str">
        <v>Мексика</v>
      </c>
      <c r="C57" s="3" t="str">
        <v>Философская ассоциация Мексики</v>
      </c>
      <c r="D57" s="3" t="str">
        <v>Asociación Filosófica de México, A.C.</v>
      </c>
      <c r="E57" s="3" t="str">
        <v>Профессиональная ассоциация</v>
      </c>
      <c r="F57" s="3" t="str">
        <v>Не удалось достоверно установить</v>
      </c>
      <c r="G57" s="7" t="str">
        <v>https://asociacionfilosoficamx.com/</v>
      </c>
      <c r="H57" s="3" t="str">
        <v>Не обнаружен</v>
      </c>
      <c r="I57" s="3" t="str">
        <v>Не обнаружен</v>
      </c>
      <c r="J57" s="3" t="str">
        <v>Не обнаружен</v>
      </c>
      <c r="K57" s="3" t="str">
        <v>Не обнаружен</v>
      </c>
      <c r="L57" s="7" t="str">
        <v>https://www.facebook.com/p/Asociaci%C3%B3n-Filos%C3%B3fica-de-M%C3%A9xico-AC-100083069895575/</v>
      </c>
      <c r="M57" s="7" t="str">
        <v>https://www.instagram.com/afilomex/</v>
      </c>
      <c r="N57" s="7" t="str">
        <v>https://x.com/afilomex</v>
      </c>
      <c r="O57" s="3" t="str">
        <v>Не обнаружен</v>
      </c>
      <c r="P57" s="7" t="str">
        <v>https://www.youtube.com/@AfmOrgMx</v>
      </c>
      <c r="Q57" s="3" t="str">
        <v>Не обнаружен</v>
      </c>
      <c r="R57" s="3" t="str">
        <v>Не обнаружен</v>
      </c>
      <c r="S57" s="3" t="str">
        <v>Luis Ramos-Alarcón Marcín</v>
      </c>
      <c r="T57" s="3" t="str">
        <v>Президент (Presidente)</v>
      </c>
      <c r="U57" s="7" t="str">
        <v>https://asociacionfilosoficamx.com/consejo-directivo-2026-2028/</v>
      </c>
      <c r="V57" s="7" t="str">
        <v>https://asociacionfilosoficamx.com/</v>
      </c>
      <c r="W57" s="3" t="str">
        <v>FISP</v>
      </c>
      <c r="X57" s="3" t="str">
        <v>Состав правления на 2026–2028 годы, избран 20.03.2026. Отдельно проверено Мексиканское философское общество, также указанное FISP.</v>
      </c>
      <c r="Y57" s="6" t="n">
        <v>46300</v>
      </c>
    </row>
    <row r="58" ht="48" customHeight="1">
      <c r="A58" s="8" t="n">
        <v>57</v>
      </c>
      <c r="B58" s="3" t="str">
        <v>Молдова</v>
      </c>
      <c r="C58" s="3" t="str">
        <v>Ассоциация философии Республики Молдова</v>
      </c>
      <c r="D58" s="3" t="str">
        <v>Asociația pentru Filosofie din Republica Moldova</v>
      </c>
      <c r="E58" s="3" t="str">
        <v>Национальная профессиональная ассоциация</v>
      </c>
      <c r="F58" s="3" t="str">
        <v>Не удалось достоверно установить</v>
      </c>
      <c r="G58" s="7" t="str">
        <v>https://asociatiapentrufilosofie.wordpress.com/</v>
      </c>
      <c r="H58" s="3" t="str">
        <v>Не обнаружен</v>
      </c>
      <c r="I58" s="3" t="str">
        <v>Не обнаружен</v>
      </c>
      <c r="J58" s="3" t="str">
        <v>Не обнаружен</v>
      </c>
      <c r="K58" s="3" t="str">
        <v>Не обнаружен</v>
      </c>
      <c r="L58" s="3" t="str">
        <v>Не обнаружен</v>
      </c>
      <c r="M58" s="3" t="str">
        <v>Не обнаружен</v>
      </c>
      <c r="N58" s="3" t="str">
        <v>Не обнаружен</v>
      </c>
      <c r="O58" s="3" t="str">
        <v>Не обнаружен</v>
      </c>
      <c r="P58" s="3" t="str">
        <v>Не обнаружен</v>
      </c>
      <c r="Q58" s="3" t="str">
        <v>Не обнаружен</v>
      </c>
      <c r="R58" s="3" t="str">
        <v>Не обнаружен</v>
      </c>
      <c r="S58" s="9" t="str">
        <v>Не удалось достоверно установить</v>
      </c>
      <c r="T58" s="9" t="str">
        <v>Не удалось достоверно установить</v>
      </c>
      <c r="U58" s="3" t="str">
        <v>Не обнаружен</v>
      </c>
      <c r="V58" s="7" t="str">
        <v>https://msuir.usm.md/server/api/core/bitstreams/a3729c09-7480-44bf-ad49-1e6b87ae0a90/content</v>
      </c>
      <c r="W58" s="3" t="str">
        <v>Не обнаружено</v>
      </c>
      <c r="X58" s="3" t="str">
        <v>До 2010 года — Asociaţia Filosofilor din Republica Moldova. Существование подтверждено национальным университетом; официальный блог содержит преимущественно старые материалы.</v>
      </c>
      <c r="Y58" s="6" t="n">
        <v>46300</v>
      </c>
    </row>
    <row r="59" ht="48" customHeight="1">
      <c r="A59" s="8" t="n">
        <v>58</v>
      </c>
      <c r="B59" s="3" t="str">
        <v>Монголия</v>
      </c>
      <c r="C59" s="3" t="str">
        <v>Монгольская философская ассоциация</v>
      </c>
      <c r="D59" s="3" t="str">
        <v>Монголын Философийн Холбоо</v>
      </c>
      <c r="E59" s="3" t="str">
        <v>Профессиональная ассоциация</v>
      </c>
      <c r="F59" s="3" t="str">
        <v>Не удалось достоверно установить</v>
      </c>
      <c r="G59" s="7" t="str">
        <v>https://www.mongolianphilosophy.org/</v>
      </c>
      <c r="H59" s="3" t="str">
        <v>Не обнаружен</v>
      </c>
      <c r="I59" s="3" t="str">
        <v>Не обнаружен</v>
      </c>
      <c r="J59" s="3" t="str">
        <v>Не обнаружен</v>
      </c>
      <c r="K59" s="3" t="str">
        <v>Не обнаружен</v>
      </c>
      <c r="L59" s="3" t="str">
        <v>Не обнаружен</v>
      </c>
      <c r="M59" s="3" t="str">
        <v>Не обнаружен</v>
      </c>
      <c r="N59" s="3" t="str">
        <v>Не обнаружен</v>
      </c>
      <c r="O59" s="3" t="str">
        <v>Не обнаружен</v>
      </c>
      <c r="P59" s="3" t="str">
        <v>Не обнаружен</v>
      </c>
      <c r="Q59" s="3" t="str">
        <v>Не обнаружен</v>
      </c>
      <c r="R59" s="3" t="str">
        <v>Не обнаружен</v>
      </c>
      <c r="S59" s="9" t="str">
        <v>Не удалось достоверно установить</v>
      </c>
      <c r="T59" s="9" t="str">
        <v>Не удалось достоверно установить</v>
      </c>
      <c r="U59" s="3" t="str">
        <v>Не обнаружен</v>
      </c>
      <c r="V59" s="7" t="str">
        <v>https://www.fisp.org/members/national-societies</v>
      </c>
      <c r="W59" s="3" t="str">
        <v>FISP</v>
      </c>
      <c r="X59" s="3" t="str">
        <v>Дополнительные замечания не обнаружены. Доступ к официальному сайту: При проверке не открылся; HTTP 502.</v>
      </c>
      <c r="Y59" s="6" t="n">
        <v>46300</v>
      </c>
    </row>
    <row r="60" ht="48" customHeight="1">
      <c r="A60" s="8" t="n">
        <v>59</v>
      </c>
      <c r="B60" s="3" t="str">
        <v>Непал</v>
      </c>
      <c r="C60" s="3" t="str">
        <v>Общество философии и литературных исследований</v>
      </c>
      <c r="D60" s="3" t="str">
        <v>Society for Philosophy and Literary Studies</v>
      </c>
      <c r="E60" s="3" t="str">
        <v>Национальное научное общество</v>
      </c>
      <c r="F60" s="3" t="str">
        <v>Не удалось достоверно установить</v>
      </c>
      <c r="G60" s="3" t="str">
        <v>Не обнаружен</v>
      </c>
      <c r="H60" s="3" t="str">
        <v>Не обнаружен</v>
      </c>
      <c r="I60" s="3" t="str">
        <v>Не обнаружен</v>
      </c>
      <c r="J60" s="3" t="str">
        <v>Не обнаружен</v>
      </c>
      <c r="K60" s="3" t="str">
        <v>Не обнаружен</v>
      </c>
      <c r="L60" s="3" t="str">
        <v>Не обнаружен</v>
      </c>
      <c r="M60" s="3" t="str">
        <v>Не обнаружен</v>
      </c>
      <c r="N60" s="3" t="str">
        <v>Не обнаружен</v>
      </c>
      <c r="O60" s="3" t="str">
        <v>Не обнаружен</v>
      </c>
      <c r="P60" s="3" t="str">
        <v>Не обнаружен</v>
      </c>
      <c r="Q60" s="3" t="str">
        <v>Не обнаружен</v>
      </c>
      <c r="R60" s="3" t="str">
        <v>Не обнаружен</v>
      </c>
      <c r="S60" s="9" t="str">
        <v>Не удалось достоверно установить</v>
      </c>
      <c r="T60" s="9" t="str">
        <v>Не удалось достоверно установить</v>
      </c>
      <c r="U60" s="3" t="str">
        <v>Не обнаружен</v>
      </c>
      <c r="V60" s="7" t="str">
        <v>https://www.fisp.org/members/national-societies</v>
      </c>
      <c r="W60" s="3" t="str">
        <v>FISP</v>
      </c>
      <c r="X60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60" s="6" t="n">
        <v>46300</v>
      </c>
    </row>
    <row r="61" ht="61" customHeight="1">
      <c r="A61" s="8" t="n">
        <v>60</v>
      </c>
      <c r="B61" s="3" t="str">
        <v>Нигерия</v>
      </c>
      <c r="C61" s="3" t="str">
        <v>Ассоциация профессиональных философов Нигерии</v>
      </c>
      <c r="D61" s="3" t="str">
        <v>Association of Philosophy Professionals of Nigeria</v>
      </c>
      <c r="E61" s="3" t="str">
        <v>Профессиональная ассоциация</v>
      </c>
      <c r="F61" s="3" t="str">
        <v>Не удалось достоверно установить</v>
      </c>
      <c r="G61" s="7" t="str">
        <v>https://www.appon.org.ng/</v>
      </c>
      <c r="H61" s="3" t="str">
        <v>Nigerian Journal of Philosophical Studies</v>
      </c>
      <c r="I61" s="3" t="str">
        <v>Не обнаружен</v>
      </c>
      <c r="J61" s="3" t="str">
        <v>Не обнаружен</v>
      </c>
      <c r="K61" s="3" t="str">
        <v>Не обнаружен</v>
      </c>
      <c r="L61" s="3" t="str">
        <v>Не обнаружен</v>
      </c>
      <c r="M61" s="3" t="str">
        <v>Не обнаружен</v>
      </c>
      <c r="N61" s="3" t="str">
        <v>Не обнаружен</v>
      </c>
      <c r="O61" s="3" t="str">
        <v>Не обнаружен</v>
      </c>
      <c r="P61" s="3" t="str">
        <v>Не обнаружен</v>
      </c>
      <c r="Q61" s="3" t="str">
        <v>Не обнаружен</v>
      </c>
      <c r="R61" s="3" t="str">
        <v>Не обнаружен</v>
      </c>
      <c r="S61" s="9" t="str">
        <v>Не удалось достоверно установить</v>
      </c>
      <c r="T61" s="9" t="str">
        <v>Не удалось достоверно установить</v>
      </c>
      <c r="U61" s="3" t="str">
        <v>Не обнаружен</v>
      </c>
      <c r="V61" s="7" t="str">
        <v>https://www.fisp.org/members/national-societies</v>
      </c>
      <c r="W61" s="3" t="str">
        <v>FISP</v>
      </c>
      <c r="X61" s="3" t="str">
        <v>Университет Olabisi Onabanjo прямо подтверждает издание Nigerian Journal of Philosophical Studies ассоциацией APPON. Старый маршрут ACJOL перенаправляет на новый общий каталог; актуальная отдельная страница журнала не обнаружена. Доступ к официальному сайту: При проверке не открылся; HTTP 502.</v>
      </c>
      <c r="Y61" s="6" t="n">
        <v>46300</v>
      </c>
    </row>
    <row r="62" ht="61" customHeight="1">
      <c r="A62" s="8" t="n">
        <v>61</v>
      </c>
      <c r="B62" s="3" t="str">
        <v>Нигерия</v>
      </c>
      <c r="C62" s="3" t="str">
        <v>Ассоциация философов Нигерии</v>
      </c>
      <c r="D62" s="3" t="str">
        <v>Philosophers Association of Nigeria</v>
      </c>
      <c r="E62" s="3" t="str">
        <v>Профессиональная ассоциация</v>
      </c>
      <c r="F62" s="3" t="str">
        <v>Не удалось достоверно установить</v>
      </c>
      <c r="G62" s="7" t="str">
        <v>https://www.pan-edu.org/</v>
      </c>
      <c r="H62" s="3" t="str">
        <v>Не обнаружен</v>
      </c>
      <c r="I62" s="3" t="str">
        <v>Не обнаружен</v>
      </c>
      <c r="J62" s="3" t="str">
        <v>Не обнаружен</v>
      </c>
      <c r="K62" s="3" t="str">
        <v>Не обнаружен</v>
      </c>
      <c r="L62" s="3" t="str">
        <v>Не обнаружен</v>
      </c>
      <c r="M62" s="3" t="str">
        <v>Не обнаружен</v>
      </c>
      <c r="N62" s="3" t="str">
        <v>Не обнаружен</v>
      </c>
      <c r="O62" s="3" t="str">
        <v>Не обнаружен</v>
      </c>
      <c r="P62" s="3" t="str">
        <v>Не обнаружен</v>
      </c>
      <c r="Q62" s="3" t="str">
        <v>Не обнаружен</v>
      </c>
      <c r="R62" s="3" t="str">
        <v>Не обнаружен</v>
      </c>
      <c r="S62" s="3" t="str">
        <v>Benson M. Akinnawonu</v>
      </c>
      <c r="T62" s="3" t="str">
        <v>Национальный президент (National President)</v>
      </c>
      <c r="U62" s="7" t="str">
        <v>https://ujws.uniosun.edu.ng/ijpc/issue/download/5/33</v>
      </c>
      <c r="V62" s="7" t="str">
        <v>https://www.fisp.org/members/national-societies</v>
      </c>
      <c r="W62" s="3" t="str">
        <v>FISP</v>
      </c>
      <c r="X62" s="3" t="str">
        <v>Текущий национальный президент назван в академическом издании Osun State University; дополнительно подтвержден сообщением об избрании в Nigeria Academy of Letters от августа 2026: Не смешивать с APPON; две самостоятельные национальные ассоциации. Дополнительные подтверждения приведены на листе «Источники».</v>
      </c>
      <c r="Y62" s="6" t="n">
        <v>46300</v>
      </c>
    </row>
    <row r="63" ht="61" customHeight="1">
      <c r="A63" s="8" t="n">
        <v>62</v>
      </c>
      <c r="B63" s="3" t="str">
        <v>Нидерланды</v>
      </c>
      <c r="C63" s="3" t="str">
        <v>Нидерландская исследовательская школа философии</v>
      </c>
      <c r="D63" s="3" t="str">
        <v>Onderzoekschool Wijsbegeerte (OZSW)</v>
      </c>
      <c r="E63" s="3" t="str">
        <v>Национальная межуниверситетская профессиональная сеть</v>
      </c>
      <c r="F63" s="3" t="str">
        <v>Сотрудничество 12 университетов и философских факультетов / подразделений; создано в 2012 году</v>
      </c>
      <c r="G63" s="7" t="str">
        <v>https://www.ozsw.nl/</v>
      </c>
      <c r="H63" s="3" t="str">
        <v>Не обнаружен</v>
      </c>
      <c r="I63" s="3" t="str">
        <v>Не обнаружен</v>
      </c>
      <c r="J63" s="3" t="str">
        <v>Не обнаружен</v>
      </c>
      <c r="K63" s="3" t="str">
        <v>Не обнаружен</v>
      </c>
      <c r="L63" s="3" t="str">
        <v>Не обнаружен</v>
      </c>
      <c r="M63" s="3" t="str">
        <v>Не обнаружен</v>
      </c>
      <c r="N63" s="3" t="str">
        <v>Не обнаружен</v>
      </c>
      <c r="O63" s="3" t="str">
        <v>Не обнаружен</v>
      </c>
      <c r="P63" s="3" t="str">
        <v>Не обнаружен</v>
      </c>
      <c r="Q63" s="3" t="str">
        <v>Не обнаружен</v>
      </c>
      <c r="R63" s="3" t="str">
        <v>Не обнаружен</v>
      </c>
      <c r="S63" s="3" t="str">
        <v>Maureen Sie</v>
      </c>
      <c r="T63" s="3" t="str">
        <v>Председатель правления (Chair)</v>
      </c>
      <c r="U63" s="7" t="str">
        <v>https://www.ozsw.nl/about-the-ozsw/</v>
      </c>
      <c r="V63" s="7" t="str">
        <v>https://www.ozsw.nl/about-the-ozsw/</v>
      </c>
      <c r="W63" s="3" t="str">
        <v>FISP</v>
      </c>
      <c r="X63" s="3" t="str">
        <v>Обоснованное исключение:это межуниверситетское объединение академических философов с общенациональной исследовательской и профессиональной функцией. Собственный сайт прямо уточняет, что OZSW не является общей ассоциацией всех философов Нидерландов. FISP относит OZSW к национальным обществам.</v>
      </c>
      <c r="Y63" s="6" t="n">
        <v>46300</v>
      </c>
    </row>
    <row r="64" ht="48" customHeight="1">
      <c r="A64" s="8" t="n">
        <v>63</v>
      </c>
      <c r="B64" s="3" t="str">
        <v>ОАЭ</v>
      </c>
      <c r="C64" s="3" t="str">
        <v>Дом философии в Фуджейре</v>
      </c>
      <c r="D64" s="3" t="str">
        <v>بيت الفلسفة</v>
      </c>
      <c r="E64" s="3" t="str">
        <v>Философское культурное учреждение</v>
      </c>
      <c r="F64" s="3" t="str">
        <v>Не удалось достоверно установить</v>
      </c>
      <c r="G64" s="7" t="str">
        <v>https://www.philosophyhouse.ae/</v>
      </c>
      <c r="H64" s="3" t="str">
        <v>Не обнаружен</v>
      </c>
      <c r="I64" s="3" t="str">
        <v>Не обнаружен</v>
      </c>
      <c r="J64" s="3" t="str">
        <v>Не обнаружен</v>
      </c>
      <c r="K64" s="3" t="str">
        <v>Не обнаружен</v>
      </c>
      <c r="L64" s="7" t="str">
        <v>https://www.facebook.com/philosophyhouse.ae</v>
      </c>
      <c r="M64" s="7" t="str">
        <v>https://www.instagram.com/philosophyhouse.ae/</v>
      </c>
      <c r="N64" s="7" t="str">
        <v>https://x.com/philosophy_UAE</v>
      </c>
      <c r="O64" s="3" t="str">
        <v>Не обнаружен</v>
      </c>
      <c r="P64" s="7" t="str">
        <v>https://www.youtube.com/@philosophyhouse-ae</v>
      </c>
      <c r="Q64" s="3" t="str">
        <v>Не обнаружен</v>
      </c>
      <c r="R64" s="3" t="str">
        <v>Не обнаружен</v>
      </c>
      <c r="S64" s="9" t="str">
        <v>Не удалось достоверно установить</v>
      </c>
      <c r="T64" s="9" t="str">
        <v>Не удалось достоверно установить</v>
      </c>
      <c r="U64" s="3" t="str">
        <v>Не обнаружен</v>
      </c>
      <c r="V64" s="7" t="str">
        <v>https://culturalmap.gov.ae/ar/facilities/philosophy-house</v>
      </c>
      <c r="W64" s="3" t="str">
        <v>FISP</v>
      </c>
      <c r="X64" s="3" t="str">
        <v>Исключение:культурное философское учреждение, а не ассоциация индивидуального членства. FISP включает его как национальное общество; альтернативное широкое профессиональное объединение не подтверждено.</v>
      </c>
      <c r="Y64" s="6" t="n">
        <v>46300</v>
      </c>
    </row>
    <row r="65" ht="74" customHeight="1">
      <c r="A65" s="8" t="n">
        <v>64</v>
      </c>
      <c r="B65" s="3" t="str">
        <v>Парагвай</v>
      </c>
      <c r="C65" s="3" t="str">
        <v>Парагвайское философское общество</v>
      </c>
      <c r="D65" s="3" t="str">
        <v>Sociedad Paraguaya de Filosofía</v>
      </c>
      <c r="E65" s="3" t="str">
        <v>Профессиональное философское общество</v>
      </c>
      <c r="F65" s="3" t="str">
        <v>Самостоятельное объединение преподавателей и исследователей из нескольких учреждений; Асунсьон</v>
      </c>
      <c r="G65" s="3" t="str">
        <v>Не обнаружен</v>
      </c>
      <c r="H65" s="3" t="str">
        <v>Не обнаружен</v>
      </c>
      <c r="I65" s="3" t="str">
        <v>Не обнаружен</v>
      </c>
      <c r="J65" s="3" t="str">
        <v>Не обнаружен</v>
      </c>
      <c r="K65" s="3" t="str">
        <v>Не обнаружен</v>
      </c>
      <c r="L65" s="3" t="str">
        <v>Не обнаружен</v>
      </c>
      <c r="M65" s="3" t="str">
        <v>Не обнаружен</v>
      </c>
      <c r="N65" s="3" t="str">
        <v>Не обнаружен</v>
      </c>
      <c r="O65" s="3" t="str">
        <v>Не обнаружен</v>
      </c>
      <c r="P65" s="3" t="str">
        <v>Не обнаружен</v>
      </c>
      <c r="Q65" s="3" t="str">
        <v>Не обнаружен</v>
      </c>
      <c r="R65" s="3" t="str">
        <v>Не обнаружен</v>
      </c>
      <c r="S65" s="9" t="str">
        <v>Не удалось достоверно установить</v>
      </c>
      <c r="T65" s="9" t="str">
        <v>Не удалось достоверно установить</v>
      </c>
      <c r="U65" s="3" t="str">
        <v>Не обнаружен</v>
      </c>
      <c r="V65" s="7" t="str">
        <v>https://cifpy.wordpress.com/institucional/</v>
      </c>
      <c r="W65" s="3" t="str">
        <v>Не обнаружено</v>
      </c>
      <c r="X65" s="3" t="str">
        <v>Актуальная страница партнерского исследовательского центра подтверждает отдельное общество и членов его руководства. CIF сам по себе не включен как национальное общество. Национальный состав и деятельность дополнительно описаны в интервью учредителей 2018 и сообщении о мероприятии 2024. Написание аббревиатуры SOPFIL / SOPAFIL в источниках различается.</v>
      </c>
      <c r="Y65" s="6" t="n">
        <v>46300</v>
      </c>
    </row>
    <row r="66" ht="61" customHeight="1">
      <c r="A66" s="8" t="n">
        <v>65</v>
      </c>
      <c r="B66" s="3" t="str">
        <v>Перу</v>
      </c>
      <c r="C66" s="3" t="str">
        <v>Перуанское философское общество</v>
      </c>
      <c r="D66" s="3" t="str">
        <v>Sociedad Peruana de Filosofía</v>
      </c>
      <c r="E66" s="3" t="str">
        <v>Национальное профессиональное общество</v>
      </c>
      <c r="F66" s="3" t="str">
        <v>Не удалось достоверно установить</v>
      </c>
      <c r="G66" s="7" t="str">
        <v>https://sociedadperuanadefilosofia.org.pe/</v>
      </c>
      <c r="H66" s="3" t="str">
        <v>Не обнаружен</v>
      </c>
      <c r="I66" s="3" t="str">
        <v>Не обнаружен</v>
      </c>
      <c r="J66" s="3" t="str">
        <v>Не обнаружен</v>
      </c>
      <c r="K66" s="3" t="str">
        <v>Не обнаружен</v>
      </c>
      <c r="L66" s="3" t="str">
        <v>Не обнаружен</v>
      </c>
      <c r="M66" s="3" t="str">
        <v>Не обнаружен</v>
      </c>
      <c r="N66" s="3" t="str">
        <v>Не обнаружен</v>
      </c>
      <c r="O66" s="3" t="str">
        <v>Не обнаружен</v>
      </c>
      <c r="P66" s="3" t="str">
        <v>Не обнаружен</v>
      </c>
      <c r="Q66" s="3" t="str">
        <v>Не обнаружен</v>
      </c>
      <c r="R66" s="3" t="str">
        <v>Не обнаружен</v>
      </c>
      <c r="S66" s="3" t="str">
        <v>Rubén Quiroz Ávila</v>
      </c>
      <c r="T66" s="3" t="str">
        <v>Президент (Presidente)</v>
      </c>
      <c r="U66" s="7" t="str">
        <v>https://elperuano.pe/noticia/295932-lo-peruano-sigue-siendo-un-desafio</v>
      </c>
      <c r="V66" s="7" t="str">
        <v>https://sociedadperuanadefilosofia.org.pe/nuestra-historia/</v>
      </c>
      <c r="W66" s="3" t="str">
        <v>Не обнаружено</v>
      </c>
      <c r="X66" s="3" t="str">
        <v>Текущее руководство подтверждено собственным советом и официальной государственной газетой 18.05.2026. Archivos de la Sociedad Peruana de Filosofía опубликованы на сайте как исторический архив; современный собственный журнал не установлен. Доступ к официальному сайту: При проверке не открылся; HTTP 500.</v>
      </c>
      <c r="Y66" s="6" t="n">
        <v>46300</v>
      </c>
    </row>
    <row r="67" ht="48" customHeight="1">
      <c r="A67" s="8" t="n">
        <v>66</v>
      </c>
      <c r="B67" s="3" t="str">
        <v>Польша</v>
      </c>
      <c r="C67" s="3" t="str">
        <v>Польское философское общество</v>
      </c>
      <c r="D67" s="3" t="str">
        <v>Polskie Towarzystwo Filozoficzne</v>
      </c>
      <c r="E67" s="3" t="str">
        <v>Профессиональное общество</v>
      </c>
      <c r="F67" s="3" t="str">
        <v>Самостоятельное национальное общество с региональными отделениями</v>
      </c>
      <c r="G67" s="7" t="str">
        <v>https://ptfilozofia.pl/</v>
      </c>
      <c r="H67" s="3" t="str">
        <v>Ruch Filozoficzny</v>
      </c>
      <c r="I67" s="7" t="str">
        <v>https://ptfilozofia.pl/strony-ptf/ptf-wydawnictwa/</v>
      </c>
      <c r="J67" s="3" t="str">
        <v>Не обнаружен</v>
      </c>
      <c r="K67" s="3" t="str">
        <v>Не обнаружен</v>
      </c>
      <c r="L67" s="3" t="str">
        <v>Не обнаружен</v>
      </c>
      <c r="M67" s="3" t="str">
        <v>Не обнаружен</v>
      </c>
      <c r="N67" s="3" t="str">
        <v>Не обнаружен</v>
      </c>
      <c r="O67" s="3" t="str">
        <v>Не обнаружен</v>
      </c>
      <c r="P67" s="3" t="str">
        <v>Не обнаружен</v>
      </c>
      <c r="Q67" s="3" t="str">
        <v>Не обнаружен</v>
      </c>
      <c r="R67" s="3" t="str">
        <v>Не обнаружен</v>
      </c>
      <c r="S67" s="3" t="str">
        <v>Paweł Łuków</v>
      </c>
      <c r="T67" s="3" t="str">
        <v>Председатель главного правления (Przewodniczący Zarządu Głównego)</v>
      </c>
      <c r="U67" s="7" t="str">
        <v>https://ptfilozofia.pl/strony-ptf/ptf-zarzad/</v>
      </c>
      <c r="V67" s="7" t="str">
        <v>https://ptfilozofia.pl/strony-ptf/ptf-statut/</v>
      </c>
      <c r="W67" s="3" t="str">
        <v>FISP</v>
      </c>
      <c r="X67" s="3" t="str">
        <v>Журнал совместно связан с PTF и Институтом философии Университета Николая Коперника.</v>
      </c>
      <c r="Y67" s="6" t="n">
        <v>46300</v>
      </c>
    </row>
    <row r="68" ht="48" customHeight="1">
      <c r="A68" s="8" t="n">
        <v>67</v>
      </c>
      <c r="B68" s="3" t="str">
        <v>Португалия</v>
      </c>
      <c r="C68" s="3" t="str">
        <v>Португальское философское общество</v>
      </c>
      <c r="D68" s="3" t="str">
        <v>Sociedade Portuguesa de Filosofia</v>
      </c>
      <c r="E68" s="3" t="str">
        <v>Профессиональное общество</v>
      </c>
      <c r="F68" s="3" t="str">
        <v>Не удалось достоверно установить</v>
      </c>
      <c r="G68" s="7" t="str">
        <v>https://www.spfil.pt/</v>
      </c>
      <c r="H68" s="3" t="str">
        <v>Не обнаружен</v>
      </c>
      <c r="I68" s="3" t="str">
        <v>Не обнаружен</v>
      </c>
      <c r="J68" s="3" t="str">
        <v>Не обнаружен</v>
      </c>
      <c r="K68" s="3" t="str">
        <v>Не обнаружен</v>
      </c>
      <c r="L68" s="7" t="str">
        <v>https://www.facebook.com/Sociedade-Portuguesa-de-Filosofia-343152035785797/</v>
      </c>
      <c r="M68" s="3" t="str">
        <v>Не обнаружен</v>
      </c>
      <c r="N68" s="3" t="str">
        <v>Не обнаружен</v>
      </c>
      <c r="O68" s="3" t="str">
        <v>Не обнаружен</v>
      </c>
      <c r="P68" s="3" t="str">
        <v>Не обнаружен</v>
      </c>
      <c r="Q68" s="3" t="str">
        <v>Не обнаружен</v>
      </c>
      <c r="R68" s="3" t="str">
        <v>Не обнаружен</v>
      </c>
      <c r="S68" s="3" t="str">
        <v>Nuno Venturinha</v>
      </c>
      <c r="T68" s="3" t="str">
        <v>Президент правления (Presidente da Direcção)</v>
      </c>
      <c r="U68" s="7" t="str">
        <v>https://www.spfil.pt/orgaos</v>
      </c>
      <c r="V68" s="7" t="str">
        <v>https://www.spfil.pt/</v>
      </c>
      <c r="W68" s="3" t="str">
        <v>FISP</v>
      </c>
      <c r="X68" s="3" t="str">
        <v>Состав органов на 2025–2027 годы. Руководитель общего собрания не смешан с президентом исполнительного правления; ссылка FISP ведет на старый сайт.</v>
      </c>
      <c r="Y68" s="6" t="n">
        <v>46300</v>
      </c>
    </row>
    <row r="69" ht="74" customHeight="1">
      <c r="A69" s="8" t="n">
        <v>68</v>
      </c>
      <c r="B69" s="3" t="str">
        <v>Россия</v>
      </c>
      <c r="C69" s="3" t="str">
        <v>Российское философское общество</v>
      </c>
      <c r="D69" s="3" t="str">
        <v>Российское философское общество</v>
      </c>
      <c r="E69" s="3" t="str">
        <v>Профессиональное общество</v>
      </c>
      <c r="F69" s="3" t="str">
        <v>Не удалось достоверно установить</v>
      </c>
      <c r="G69" s="7" t="str">
        <v>https://xn--n1adm.xn--p1acf/</v>
      </c>
      <c r="H69" s="3" t="str">
        <v>Вестник Российского философского общества</v>
      </c>
      <c r="I69" s="7" t="str">
        <v>https://xn--n1adm.xn--p1acf/%d0%bd%d0%be%d0%b2%d1%8b%d0%b9-%d0%b2%d1%8b%d0%bf%d1%83%d1%81%d0%ba/</v>
      </c>
      <c r="J69" s="3" t="str">
        <v>Не обнаружен</v>
      </c>
      <c r="K69" s="3" t="str">
        <v>Не обнаружен</v>
      </c>
      <c r="L69" s="3" t="str">
        <v>Не обнаружен</v>
      </c>
      <c r="M69" s="3" t="str">
        <v>Не обнаружен</v>
      </c>
      <c r="N69" s="3" t="str">
        <v>Не обнаружен</v>
      </c>
      <c r="O69" s="3" t="str">
        <v>Не обнаружен</v>
      </c>
      <c r="P69" s="3" t="str">
        <v>Не обнаружен</v>
      </c>
      <c r="Q69" s="3" t="str">
        <v>Не обнаружен</v>
      </c>
      <c r="R69" s="3" t="str">
        <v>Не обнаружен</v>
      </c>
      <c r="S69" s="3" t="str">
        <v>Смирнов Андрей Вадимович</v>
      </c>
      <c r="T69" s="3" t="str">
        <v>Президент</v>
      </c>
      <c r="U69" s="7" t="str">
        <v>https://xn--n1adm.xn--p1acf/2026/06/ix-%D1%80%D0%BE%D1%81%D1%81%D0%B8%D0%B9%D1%81%D0%BA%D0%B8%D0%B9-%D1%84%D0%B8%D0%BB%D0%BE%D1%81%D0%BE%D1%84%D1%81%D0%BA%D0%B8%D0%B9-%D0%BA%D0%BE%D0%BD%D0%B3%D1%80%D0%B5%D1%81%D1%81-%D1%84%D0%B8-2/</v>
      </c>
      <c r="V69" s="7" t="str">
        <v>https://www.fisp.org/members/national-societies</v>
      </c>
      <c r="W69" s="3" t="str">
        <v>FISP</v>
      </c>
      <c r="X69" s="3" t="str">
        <v>Национальный сайт сменился:FISP указывает старый dialog21.ru. Текущий сайт РФО содержит состав президиума и нормативные документы. Ссылки на независимые философские журналы в библиотеке не означают, что это журналы РФО. Собственный «Вестник РФО»:выпуск 1–2 за 2026 опубликован на действующем официальном сайте. Другие журналы из раздела ссылок общества не считаются его изданиями.</v>
      </c>
      <c r="Y69" s="6" t="n">
        <v>46300</v>
      </c>
    </row>
    <row r="70" ht="48" customHeight="1">
      <c r="A70" s="8" t="n">
        <v>69</v>
      </c>
      <c r="B70" s="3" t="str">
        <v>Руанда</v>
      </c>
      <c r="C70" s="3" t="str">
        <v>Руандийская ассоциация философии</v>
      </c>
      <c r="D70" s="3" t="str">
        <v>Association Rwandaise pour la Philosophie</v>
      </c>
      <c r="E70" s="3" t="str">
        <v>Национальная профессиональная ассоциация</v>
      </c>
      <c r="F70" s="3" t="str">
        <v>Не удалось достоверно установить</v>
      </c>
      <c r="G70" s="3" t="str">
        <v>Не обнаружен</v>
      </c>
      <c r="H70" s="3" t="str">
        <v>Не обнаружен</v>
      </c>
      <c r="I70" s="3" t="str">
        <v>Не обнаружен</v>
      </c>
      <c r="J70" s="3" t="str">
        <v>Не обнаружен</v>
      </c>
      <c r="K70" s="3" t="str">
        <v>Не обнаружен</v>
      </c>
      <c r="L70" s="3" t="str">
        <v>Не обнаружен</v>
      </c>
      <c r="M70" s="3" t="str">
        <v>Не обнаружен</v>
      </c>
      <c r="N70" s="3" t="str">
        <v>Не обнаружен</v>
      </c>
      <c r="O70" s="3" t="str">
        <v>Не обнаружен</v>
      </c>
      <c r="P70" s="3" t="str">
        <v>Не обнаружен</v>
      </c>
      <c r="Q70" s="3" t="str">
        <v>Не обнаружен</v>
      </c>
      <c r="R70" s="3" t="str">
        <v>Не обнаружен</v>
      </c>
      <c r="S70" s="9" t="str">
        <v>Не удалось достоверно установить</v>
      </c>
      <c r="T70" s="9" t="str">
        <v>Не удалось достоверно установить</v>
      </c>
      <c r="U70" s="3" t="str">
        <v>Не обнаружен</v>
      </c>
      <c r="V70" s="7" t="str">
        <v>https://www.unesco.rw/IMG/pdf/007_december_2016.pdf</v>
      </c>
      <c r="W70" s="3" t="str">
        <v>Не обнаружено</v>
      </c>
      <c r="X70" s="3" t="str">
        <v>ARPHI основана преподавателями философии Руанды и принимает философов и заинтересованную публику; статус подтвержден Национальной комиссией ЮНЕСКО. Источник 2016 года; руководство и деятельность в 2026 году не подтверждены.</v>
      </c>
      <c r="Y70" s="6" t="n">
        <v>46300</v>
      </c>
    </row>
    <row r="71" ht="48" customHeight="1">
      <c r="A71" s="8" t="n">
        <v>70</v>
      </c>
      <c r="B71" s="3" t="str">
        <v>Сальвадор</v>
      </c>
      <c r="C71" s="3" t="str">
        <v>Сальвадорская философская ассоциация</v>
      </c>
      <c r="D71" s="3" t="str">
        <v>Asociación Salvadoreña de Filosofía</v>
      </c>
      <c r="E71" s="3" t="str">
        <v>Национальная профессиональная ассоциация</v>
      </c>
      <c r="F71" s="3" t="str">
        <v>Не удалось достоверно установить</v>
      </c>
      <c r="G71" s="3" t="str">
        <v>Не обнаружен</v>
      </c>
      <c r="H71" s="3" t="str">
        <v>Azur. Revista Centroamericana de Filosofía</v>
      </c>
      <c r="I71" s="7" t="str">
        <v>https://azurrevista.com/</v>
      </c>
      <c r="J71" s="3" t="str">
        <v>Не обнаружен</v>
      </c>
      <c r="K71" s="3" t="str">
        <v>Не обнаружен</v>
      </c>
      <c r="L71" s="3" t="str">
        <v>Не обнаружен</v>
      </c>
      <c r="M71" s="3" t="str">
        <v>Не обнаружен</v>
      </c>
      <c r="N71" s="3" t="str">
        <v>Не обнаружен</v>
      </c>
      <c r="O71" s="3" t="str">
        <v>Не обнаружен</v>
      </c>
      <c r="P71" s="3" t="str">
        <v>Не обнаружен</v>
      </c>
      <c r="Q71" s="3" t="str">
        <v>Не обнаружен</v>
      </c>
      <c r="R71" s="3" t="str">
        <v>Не обнаружен</v>
      </c>
      <c r="S71" s="9" t="str">
        <v>Не удалось достоверно установить</v>
      </c>
      <c r="T71" s="9" t="str">
        <v>Не удалось достоверно установить</v>
      </c>
      <c r="U71" s="3" t="str">
        <v>Не обнаружен</v>
      </c>
      <c r="V71" s="7" t="str">
        <v>https://azurrevista.com/wp-content/uploads/2026/08/1_Acta-del-XIV-Congreso-Centroamericano-de-Filosofia.html</v>
      </c>
      <c r="W71" s="3" t="str">
        <v>ACAFI</v>
      </c>
      <c r="X71" s="3" t="str">
        <v>Названа региональной федерацией как одна из национальных философских ассоциаций. Собственный сайт и актуальное руководство пока не подтверждены. Azur — совместный официальный орган национальных ассоциаций ACAFI.</v>
      </c>
      <c r="Y71" s="6" t="n">
        <v>46300</v>
      </c>
    </row>
    <row r="72" ht="48" customHeight="1">
      <c r="A72" s="8" t="n">
        <v>71</v>
      </c>
      <c r="B72" s="3" t="str">
        <v>Саудовская Аравия</v>
      </c>
      <c r="C72" s="3" t="str">
        <v>Саудовское философское общество</v>
      </c>
      <c r="D72" s="3" t="str">
        <v>جمعية الفلسفة</v>
      </c>
      <c r="E72" s="3" t="str">
        <v>Национальная некоммерческая ассоциация</v>
      </c>
      <c r="F72" s="3" t="str">
        <v>Не удалось достоверно установить</v>
      </c>
      <c r="G72" s="7" t="str">
        <v>https://saudiphilosophy.com/?lang=ar</v>
      </c>
      <c r="H72" s="3" t="str">
        <v>Не обнаружен</v>
      </c>
      <c r="I72" s="3" t="str">
        <v>Не обнаружен</v>
      </c>
      <c r="J72" s="3" t="str">
        <v>Не обнаружен</v>
      </c>
      <c r="K72" s="3" t="str">
        <v>Не обнаружен</v>
      </c>
      <c r="L72" s="7" t="str">
        <v>https://www.facebook.com/%D8%AC%D9%85%D8%B9%D9%8A%D8%A9-%D8%A7%D9%84%D9%81%D9%84%D8%B3%D9%81%D8%A9-105731148432942</v>
      </c>
      <c r="M72" s="7" t="str">
        <v>https://www.instagram.com/philosophysaudi/</v>
      </c>
      <c r="N72" s="7" t="str">
        <v>https://twitter.com/PhilosophySaudi</v>
      </c>
      <c r="O72" s="3" t="str">
        <v>Не обнаружен</v>
      </c>
      <c r="P72" s="7" t="str">
        <v>https://www.youtube.com/channel/UCrErglr0qSJCY03zAAQT7lA</v>
      </c>
      <c r="Q72" s="3" t="str">
        <v>Не обнаружен</v>
      </c>
      <c r="R72" s="3" t="str">
        <v>Не обнаружен</v>
      </c>
      <c r="S72" s="3" t="str">
        <v>عبدالله المطيري</v>
      </c>
      <c r="T72" s="3" t="str">
        <v>Председатель совета директоров (رئيس مجلس الإدارة)</v>
      </c>
      <c r="U72" s="7" t="str">
        <v>https://saudiphilosophy.com/wp-content/uploads/2024/11/PHOTO-2024-11-06-08-36-23.jpg</v>
      </c>
      <c r="V72" s="7" t="str">
        <v>https://saudiphilosophy.com/about/?lang=ar</v>
      </c>
      <c r="W72" s="3" t="str">
        <v>Не обнаружено</v>
      </c>
      <c r="X72" s="3" t="str">
        <v>Текущий официальный сайт ссылается на второй состав совета директоров, опубликованный в ноябре 2024 года; имя и должность прочитаны на официальном изображении совета. Срок полномочий на изображении не указан.</v>
      </c>
      <c r="Y72" s="6" t="n">
        <v>46300</v>
      </c>
    </row>
    <row r="73" ht="48" customHeight="1">
      <c r="A73" s="8" t="n">
        <v>72</v>
      </c>
      <c r="B73" s="3" t="str">
        <v>Северная Македония</v>
      </c>
      <c r="C73" s="3" t="str">
        <v>Философское общество Македонии</v>
      </c>
      <c r="D73" s="3" t="str">
        <v>Филозофско друштво на Македонија</v>
      </c>
      <c r="E73" s="3" t="str">
        <v>Профессиональное общество</v>
      </c>
      <c r="F73" s="3" t="str">
        <v>Не удалось достоверно установить</v>
      </c>
      <c r="G73" s="7" t="str">
        <v>https://fdm.mk/</v>
      </c>
      <c r="H73" s="3" t="str">
        <v>Филозофска трибина</v>
      </c>
      <c r="I73" s="7" t="str">
        <v>https://fdm.mk/filozofska-tribina/</v>
      </c>
      <c r="J73" s="3" t="str">
        <v>Не обнаружен</v>
      </c>
      <c r="K73" s="3" t="str">
        <v>Не обнаружен</v>
      </c>
      <c r="L73" s="7" t="str">
        <v>https://www.facebook.com/philosophicalsocietyofmacedonia</v>
      </c>
      <c r="M73" s="3" t="str">
        <v>Не обнаружен</v>
      </c>
      <c r="N73" s="3" t="str">
        <v>Не обнаружен</v>
      </c>
      <c r="O73" s="3" t="str">
        <v>Не обнаружен</v>
      </c>
      <c r="P73" s="7" t="str">
        <v>https://www.youtube.com/channel/UCyJH6pTyOc7qWw5Gte9wisg/featured</v>
      </c>
      <c r="Q73" s="3" t="str">
        <v>Не обнаружен</v>
      </c>
      <c r="R73" s="3" t="str">
        <v>Не обнаружен</v>
      </c>
      <c r="S73" s="9" t="str">
        <v>Не удалось достоверно установить</v>
      </c>
      <c r="T73" s="9" t="str">
        <v>Не удалось достоверно установить</v>
      </c>
      <c r="U73" s="3" t="str">
        <v>Не обнаружен</v>
      </c>
      <c r="V73" s="7" t="str">
        <v>https://fdm.mk/za-nas/</v>
      </c>
      <c r="W73" s="3" t="str">
        <v>FISP</v>
      </c>
      <c r="X73" s="3" t="str">
        <v>Действующее национальное общество; 70-летие в 2026 году. FISP использует устаревшее обозначение страны. Издатель Филозофска трибина прямо указан на собственной странице общества.</v>
      </c>
      <c r="Y73" s="6" t="n">
        <v>46300</v>
      </c>
    </row>
    <row r="74" ht="48" customHeight="1">
      <c r="A74" s="8" t="n">
        <v>73</v>
      </c>
      <c r="B74" s="3" t="str">
        <v>Сенегал</v>
      </c>
      <c r="C74" s="3" t="str">
        <v>Сенегальская философская ассоциация</v>
      </c>
      <c r="D74" s="3" t="str">
        <v>Association sénégalaise de Philosophie (A.SE.PHI)</v>
      </c>
      <c r="E74" s="3" t="str">
        <v>Национальная философская ассоциация</v>
      </c>
      <c r="F74" s="3" t="str">
        <v>Самостоятельная ассоциация; сотрудничество с учеными Université Cheikh Anta Diop и Caribbean Philosophical Association.</v>
      </c>
      <c r="G74" s="3" t="str">
        <v>Не обнаружен</v>
      </c>
      <c r="H74" s="3" t="str">
        <v>Не обнаружен</v>
      </c>
      <c r="I74" s="3" t="str">
        <v>Не обнаружен</v>
      </c>
      <c r="J74" s="3" t="str">
        <v>Не обнаружен</v>
      </c>
      <c r="K74" s="3" t="str">
        <v>Не обнаружен</v>
      </c>
      <c r="L74" s="3" t="str">
        <v>Не обнаружен</v>
      </c>
      <c r="M74" s="3" t="str">
        <v>Не обнаружен</v>
      </c>
      <c r="N74" s="3" t="str">
        <v>Не обнаружен</v>
      </c>
      <c r="O74" s="3" t="str">
        <v>Не обнаружен</v>
      </c>
      <c r="P74" s="3" t="str">
        <v>Не обнаружен</v>
      </c>
      <c r="Q74" s="3" t="str">
        <v>Не обнаружен</v>
      </c>
      <c r="R74" s="3" t="str">
        <v>Не обнаружен</v>
      </c>
      <c r="S74" s="9" t="str">
        <v>Не удалось достоверно установить</v>
      </c>
      <c r="T74" s="9" t="str">
        <v>Не удалось достоверно установить</v>
      </c>
      <c r="U74" s="3" t="str">
        <v>Не обнаружен</v>
      </c>
      <c r="V74" s="7" t="str">
        <v>https://caribbeanphilosophy.org/ecole-africaine-de-philosophie</v>
      </c>
      <c r="W74" s="3" t="str">
        <v>Не обнаружено</v>
      </c>
      <c r="X74" s="3" t="str">
        <v>Отдельное объединение от Société sénégalaise de philosophie (SOSEPHI). Организационное членство и совместная школа 2025 подтверждены партнером. Oumar Dia назван генеральным секретарем; не установлено, что это высшая должность.</v>
      </c>
      <c r="Y74" s="6" t="n">
        <v>46300</v>
      </c>
    </row>
    <row r="75" ht="61" customHeight="1">
      <c r="A75" s="8" t="n">
        <v>74</v>
      </c>
      <c r="B75" s="3" t="str">
        <v>Сенегал</v>
      </c>
      <c r="C75" s="3" t="str">
        <v>Сенегальское философское общество</v>
      </c>
      <c r="D75" s="3" t="str">
        <v>Société sénégalaise de philosophie</v>
      </c>
      <c r="E75" s="3" t="str">
        <v>Профессиональное общество</v>
      </c>
      <c r="F75" s="3" t="str">
        <v>Не удалось достоверно установить</v>
      </c>
      <c r="G75" s="3" t="str">
        <v>Не обнаружен</v>
      </c>
      <c r="H75" s="3" t="str">
        <v>Revue sénégalaise de philosophie</v>
      </c>
      <c r="I75" s="7" t="str">
        <v>https://editions.ucad.sn/series/serie_2/revue_22</v>
      </c>
      <c r="J75" s="3" t="str">
        <v>Не обнаружен</v>
      </c>
      <c r="K75" s="3" t="str">
        <v>Не обнаружен</v>
      </c>
      <c r="L75" s="3" t="str">
        <v>Не обнаружен</v>
      </c>
      <c r="M75" s="3" t="str">
        <v>Не обнаружен</v>
      </c>
      <c r="N75" s="3" t="str">
        <v>Не обнаружен</v>
      </c>
      <c r="O75" s="3" t="str">
        <v>Не обнаружен</v>
      </c>
      <c r="P75" s="3" t="str">
        <v>Не обнаружен</v>
      </c>
      <c r="Q75" s="3" t="str">
        <v>Не обнаружен</v>
      </c>
      <c r="R75" s="3" t="str">
        <v>Не обнаружен</v>
      </c>
      <c r="S75" s="9" t="str">
        <v>Не удалось достоверно установить</v>
      </c>
      <c r="T75" s="9" t="str">
        <v>Не удалось достоверно установить</v>
      </c>
      <c r="U75" s="3" t="str">
        <v>Не обнаружен</v>
      </c>
      <c r="V75" s="7" t="str">
        <v>https://www.fisp.org/members/national-societies</v>
      </c>
      <c r="W75" s="3" t="str">
        <v>FISP</v>
      </c>
      <c r="X75" s="3" t="str">
        <v>Издание при участии SOSEPHI и философского отделения Университета Шейха Анта Диопа; организация отличается от ASEPHI.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75" s="6" t="n">
        <v>46300</v>
      </c>
    </row>
    <row r="76" ht="61" customHeight="1">
      <c r="A76" s="8" t="n">
        <v>75</v>
      </c>
      <c r="B76" s="3" t="str">
        <v>Сербия</v>
      </c>
      <c r="C76" s="3" t="str">
        <v>Сербское философское общество</v>
      </c>
      <c r="D76" s="3" t="str">
        <v>Српско филозофско друштво</v>
      </c>
      <c r="E76" s="3" t="str">
        <v>Национальное профессиональное общество</v>
      </c>
      <c r="F76" s="3" t="str">
        <v>Не удалось достоверно установить</v>
      </c>
      <c r="G76" s="3" t="str">
        <v>Не обнаружен</v>
      </c>
      <c r="H76" s="3" t="str">
        <v>Theoria</v>
      </c>
      <c r="I76" s="7" t="str">
        <v>https://www.doiserbia.nb.rs/journal.aspx?issn=0351-2274</v>
      </c>
      <c r="J76" s="3" t="str">
        <v>Не обнаружен</v>
      </c>
      <c r="K76" s="3" t="str">
        <v>Не обнаружен</v>
      </c>
      <c r="L76" s="3" t="str">
        <v>Не обнаружен</v>
      </c>
      <c r="M76" s="3" t="str">
        <v>Не обнаружен</v>
      </c>
      <c r="N76" s="3" t="str">
        <v>Не обнаружен</v>
      </c>
      <c r="O76" s="3" t="str">
        <v>Не обнаружен</v>
      </c>
      <c r="P76" s="3" t="str">
        <v>Не обнаружен</v>
      </c>
      <c r="Q76" s="3" t="str">
        <v>Не обнаружен</v>
      </c>
      <c r="R76" s="3" t="str">
        <v>Не обнаружен</v>
      </c>
      <c r="S76" s="9" t="str">
        <v>Не удалось достоверно установить</v>
      </c>
      <c r="T76" s="9" t="str">
        <v>Не удалось достоверно установить</v>
      </c>
      <c r="U76" s="7" t="str">
        <v>https://nafasep.ucg.ac.me/assets/dok/Knjiga%20apstrakata%202025.pdf</v>
      </c>
      <c r="V76" s="7" t="str">
        <v>https://nitra.gov.rs/images/nauka/Kategorizacija%20naucnih%20casopisa/2025-05-13/lista-casopisa-2024.pdf</v>
      </c>
      <c r="W76" s="3" t="str">
        <v>Не обнаружено</v>
      </c>
      <c r="X76" s="3" t="str">
        <v>Программа 2025 года называет председателем Слободана Кањеваца; свежая страница действующего правления пока не найдена. Министерский перечень научных журналов за 2024 прямо называет Српско филозофско друштво издателем Theoria. Деятельность в сентябре 2026 подтверждена муниципалитетом Кнић.</v>
      </c>
      <c r="Y76" s="6" t="n">
        <v>46300</v>
      </c>
    </row>
    <row r="77" ht="48" customHeight="1">
      <c r="A77" s="8" t="n">
        <v>76</v>
      </c>
      <c r="B77" s="3" t="str">
        <v>Словакия</v>
      </c>
      <c r="C77" s="3" t="str">
        <v>Словацкое философское объединение</v>
      </c>
      <c r="D77" s="3" t="str">
        <v>Slovenské filozofické združenie pri SAV</v>
      </c>
      <c r="E77" s="3" t="str">
        <v>Профессиональное научное объединение</v>
      </c>
      <c r="F77" s="3" t="str">
        <v>Не удалось достоверно установить</v>
      </c>
      <c r="G77" s="7" t="str">
        <v>https://www.sfz.sk/</v>
      </c>
      <c r="H77" s="3" t="str">
        <v>Не обнаружен</v>
      </c>
      <c r="I77" s="3" t="str">
        <v>Не обнаружен</v>
      </c>
      <c r="J77" s="3" t="str">
        <v>Не обнаружен</v>
      </c>
      <c r="K77" s="3" t="str">
        <v>Не обнаружен</v>
      </c>
      <c r="L77" s="3" t="str">
        <v>Не обнаружен</v>
      </c>
      <c r="M77" s="3" t="str">
        <v>Не обнаружен</v>
      </c>
      <c r="N77" s="3" t="str">
        <v>Не обнаружен</v>
      </c>
      <c r="O77" s="3" t="str">
        <v>Не обнаружен</v>
      </c>
      <c r="P77" s="3" t="str">
        <v>Не обнаружен</v>
      </c>
      <c r="Q77" s="3" t="str">
        <v>Не обнаружен</v>
      </c>
      <c r="R77" s="3" t="str">
        <v>Не обнаружен</v>
      </c>
      <c r="S77" s="9" t="str">
        <v>Не удалось достоверно установить</v>
      </c>
      <c r="T77" s="9" t="str">
        <v>Не удалось достоверно установить</v>
      </c>
      <c r="U77" s="3" t="str">
        <v>Не обнаружен</v>
      </c>
      <c r="V77" s="7" t="str">
        <v>https://www.fisp.org/members/national-societies</v>
      </c>
      <c r="W77" s="3" t="str">
        <v>FISP</v>
      </c>
      <c r="X77" s="3" t="str">
        <v>Дополнительные замечания не обнаружены. Доступ к официальному сайту: При проверке не открылся; HTTP 502.</v>
      </c>
      <c r="Y77" s="6" t="n">
        <v>46300</v>
      </c>
    </row>
    <row r="78" ht="48" customHeight="1">
      <c r="A78" s="8" t="n">
        <v>77</v>
      </c>
      <c r="B78" s="3" t="str">
        <v>Словения</v>
      </c>
      <c r="C78" s="3" t="str">
        <v>Словенское философское общество</v>
      </c>
      <c r="D78" s="3" t="str">
        <v>Slovensko filozofsko društvo</v>
      </c>
      <c r="E78" s="3" t="str">
        <v>Профессиональное общество</v>
      </c>
      <c r="F78" s="3" t="str">
        <v>Контактный адрес при философском факультете Университета Любляны</v>
      </c>
      <c r="G78" s="7" t="str">
        <v>https://www.sfd-drustvo.si/</v>
      </c>
      <c r="H78" s="3" t="str">
        <v>Anthropos</v>
      </c>
      <c r="I78" s="7" t="str">
        <v>http://www.anthropos.si/</v>
      </c>
      <c r="J78" s="3" t="str">
        <v>Не обнаружен</v>
      </c>
      <c r="K78" s="3" t="str">
        <v>Не обнаружен</v>
      </c>
      <c r="L78" s="7" t="str">
        <v>https://www.facebook.com/Slovenskofilozofskodrustvo</v>
      </c>
      <c r="M78" s="7" t="str">
        <v>https://www.instagram.com/slovenskofilozofsko/</v>
      </c>
      <c r="N78" s="7" t="str">
        <v>https://twitter.com/SlovenskoD</v>
      </c>
      <c r="O78" s="3" t="str">
        <v>Не обнаружен</v>
      </c>
      <c r="P78" s="3" t="str">
        <v>Не обнаружен</v>
      </c>
      <c r="Q78" s="3" t="str">
        <v>Не обнаружен</v>
      </c>
      <c r="R78" s="3" t="str">
        <v>Не обнаружен</v>
      </c>
      <c r="S78" s="3" t="str">
        <v>Gašper Pirc</v>
      </c>
      <c r="T78" s="3" t="str">
        <v>Председатель (Predsednik)</v>
      </c>
      <c r="U78" s="7" t="str">
        <v>https://www.sfd-drustvo.si/o-drustvu/</v>
      </c>
      <c r="V78" s="7" t="str">
        <v>https://www.sfd-drustvo.si/o-drustvu/</v>
      </c>
      <c r="W78" s="3" t="str">
        <v>FISP</v>
      </c>
      <c r="X78" s="3" t="str">
        <v>Действующее руководство подтверждено страницей общества и новостями 2026 года. Связь Anthropos подтверждена официальной страницей общества. Собственная страница «Povezave» отделяет Anthropos как журнал общества от остальных независимых словенских журналов.</v>
      </c>
      <c r="Y78" s="6" t="n">
        <v>46300</v>
      </c>
    </row>
    <row r="79" ht="61" customHeight="1">
      <c r="A79" s="8" t="n">
        <v>78</v>
      </c>
      <c r="B79" s="3" t="str">
        <v>США</v>
      </c>
      <c r="C79" s="3" t="str">
        <v>Американская философская ассоциация</v>
      </c>
      <c r="D79" s="3" t="str">
        <v>American Philosophical Association</v>
      </c>
      <c r="E79" s="3" t="str">
        <v>Профессиональная ассоциация</v>
      </c>
      <c r="F79" s="3" t="str">
        <v>Независимая ассоциация с тремя региональными отделениями</v>
      </c>
      <c r="G79" s="7" t="str">
        <v>https://www.apaonline.org/</v>
      </c>
      <c r="H79" s="3" t="str">
        <v>Journal of the American Philosophical Association</v>
      </c>
      <c r="I79" s="7" t="str">
        <v>https://www.apaonline.org/page/journal/Journal-of-the-American-Philosophical-Association</v>
      </c>
      <c r="J79" s="3" t="str">
        <v>Proceedings and Addresses of the American Philosophical Association</v>
      </c>
      <c r="K79" s="7" t="str">
        <v>https://www.apaonline.org/page/publications</v>
      </c>
      <c r="L79" s="3" t="str">
        <v>Не обнаружен</v>
      </c>
      <c r="M79" s="3" t="str">
        <v>Не обнаружен</v>
      </c>
      <c r="N79" s="3" t="str">
        <v>Не обнаружен</v>
      </c>
      <c r="O79" s="3" t="str">
        <v>Не обнаружен</v>
      </c>
      <c r="P79" s="3" t="str">
        <v>Не обнаружен</v>
      </c>
      <c r="Q79" s="3" t="str">
        <v>Не обнаружен</v>
      </c>
      <c r="R79" s="3" t="str">
        <v>Не обнаружен</v>
      </c>
      <c r="S79" s="3" t="str">
        <v>Marya Schechtman</v>
      </c>
      <c r="T79" s="3" t="str">
        <v>Председатель совета должностных лиц (Chair of the Board of Officers)</v>
      </c>
      <c r="U79" s="7" t="str">
        <v>https://www.apaonline.org/news/718414/Marya-Schechtman-elected-new-APA-board-chair.htm</v>
      </c>
      <c r="V79" s="7" t="str">
        <v>https://www.apaonline.org/page/mission</v>
      </c>
      <c r="W79" s="3" t="str">
        <v>FISP</v>
      </c>
      <c r="X79" s="3" t="str">
        <v>Высшее общенациональное руководство — председатель Board of Officers; президенты Eastern, Central и Pacific Divisions возглавляют отделения. Вступление Marya Schechtman в должность — 01.07.2026. Доступ к официальному сайту: Автоматический доступ ограничен; HTTP 403.</v>
      </c>
      <c r="Y79" s="6" t="n">
        <v>46300</v>
      </c>
    </row>
    <row r="80" ht="48" customHeight="1">
      <c r="A80" s="8" t="n">
        <v>79</v>
      </c>
      <c r="B80" s="3" t="str">
        <v>Таиланд</v>
      </c>
      <c r="C80" s="3" t="str">
        <v>Общество философии и религии Таиланда</v>
      </c>
      <c r="D80" s="3" t="str">
        <v>สมาคมปรัชญาและศาสนาแห่งประเทศไทย</v>
      </c>
      <c r="E80" s="3" t="str">
        <v>Профессиональное научное общество</v>
      </c>
      <c r="F80" s="3" t="str">
        <v>Не удалось достоверно установить</v>
      </c>
      <c r="G80" s="7" t="str">
        <v>https://parst.or.th/</v>
      </c>
      <c r="H80" s="3" t="str">
        <v>Journal of the Philosophy and Religion Society of Thailand</v>
      </c>
      <c r="I80" s="7" t="str">
        <v>https://so04.tci-thaijo.org/index.php/parst/</v>
      </c>
      <c r="J80" s="3" t="str">
        <v>Не обнаружен</v>
      </c>
      <c r="K80" s="3" t="str">
        <v>Не обнаружен</v>
      </c>
      <c r="L80" s="3" t="str">
        <v>Не обнаружен</v>
      </c>
      <c r="M80" s="3" t="str">
        <v>Не обнаружен</v>
      </c>
      <c r="N80" s="3" t="str">
        <v>Не обнаружен</v>
      </c>
      <c r="O80" s="3" t="str">
        <v>Не обнаружен</v>
      </c>
      <c r="P80" s="3" t="str">
        <v>Не обнаружен</v>
      </c>
      <c r="Q80" s="3" t="str">
        <v>Не обнаружен</v>
      </c>
      <c r="R80" s="3" t="str">
        <v>Не обнаружен</v>
      </c>
      <c r="S80" s="9" t="str">
        <v>Не удалось достоверно установить</v>
      </c>
      <c r="T80" s="9" t="str">
        <v>Не удалось достоверно установить</v>
      </c>
      <c r="U80" s="3" t="str">
        <v>Не обнаружен</v>
      </c>
      <c r="V80" s="7" t="str">
        <v>https://www.fisp.org/members/national-societies</v>
      </c>
      <c r="W80" s="3" t="str">
        <v>FISP</v>
      </c>
      <c r="X80" s="3" t="str">
        <v>Официальная издательская связь подтверждена страницей About журнала.</v>
      </c>
      <c r="Y80" s="6" t="n">
        <v>46300</v>
      </c>
    </row>
    <row r="81" ht="61" customHeight="1">
      <c r="A81" s="8" t="n">
        <v>80</v>
      </c>
      <c r="B81" s="3" t="str">
        <v>Тайвань</v>
      </c>
      <c r="C81" s="3" t="str">
        <v>Китайское философское общество (Тайвань)</v>
      </c>
      <c r="D81" s="3" t="str">
        <v>中國哲學會</v>
      </c>
      <c r="E81" s="3" t="str">
        <v>Философское научное общество</v>
      </c>
      <c r="F81" s="3" t="str">
        <v>Не удалось достоверно установить</v>
      </c>
      <c r="G81" s="3" t="str">
        <v>Не обнаружен</v>
      </c>
      <c r="H81" s="3" t="str">
        <v>Не обнаружен</v>
      </c>
      <c r="I81" s="3" t="str">
        <v>Не обнаружен</v>
      </c>
      <c r="J81" s="3" t="str">
        <v>Не обнаружен</v>
      </c>
      <c r="K81" s="3" t="str">
        <v>Не обнаружен</v>
      </c>
      <c r="L81" s="3" t="str">
        <v>Не обнаружен</v>
      </c>
      <c r="M81" s="3" t="str">
        <v>Не обнаружен</v>
      </c>
      <c r="N81" s="3" t="str">
        <v>Не обнаружен</v>
      </c>
      <c r="O81" s="3" t="str">
        <v>Не обнаружен</v>
      </c>
      <c r="P81" s="3" t="str">
        <v>Не обнаружен</v>
      </c>
      <c r="Q81" s="3" t="str">
        <v>Не обнаружен</v>
      </c>
      <c r="R81" s="3" t="str">
        <v>Не обнаружен</v>
      </c>
      <c r="S81" s="9" t="str">
        <v>Не удалось достоверно установить</v>
      </c>
      <c r="T81" s="9" t="str">
        <v>Не удалось достоверно установить</v>
      </c>
      <c r="U81" s="3" t="str">
        <v>Не обнаружен</v>
      </c>
      <c r="V81" s="7" t="str">
        <v>https://tpatw.org/conference/3440/</v>
      </c>
      <c r="W81" s="3" t="str">
        <v>FISP</v>
      </c>
      <c r="X81" s="3" t="str">
        <v>Действующее тайваньское общество; в уставной цели — философские исследования в целом. Не отождествлять с историческим обществом на материковом Китае и международным International Society for Chinese Philosophy. Две самостоятельные общепрофильные организации на Тайване.</v>
      </c>
      <c r="Y81" s="6" t="n">
        <v>46300</v>
      </c>
    </row>
    <row r="82" ht="48" customHeight="1">
      <c r="A82" s="8" t="n">
        <v>81</v>
      </c>
      <c r="B82" s="3" t="str">
        <v>Тайвань</v>
      </c>
      <c r="C82" s="3" t="str">
        <v>Тайваньская философская ассоциация</v>
      </c>
      <c r="D82" s="3" t="str">
        <v>台灣哲學學會</v>
      </c>
      <c r="E82" s="3" t="str">
        <v>Национальная философская ассоциация</v>
      </c>
      <c r="F82" s="3" t="str">
        <v>Не удалось достоверно установить</v>
      </c>
      <c r="G82" s="7" t="str">
        <v>https://tpatw.org/</v>
      </c>
      <c r="H82" s="3" t="str">
        <v>Не обнаружен</v>
      </c>
      <c r="I82" s="3" t="str">
        <v>Не обнаружен</v>
      </c>
      <c r="J82" s="3" t="str">
        <v>Не обнаружен</v>
      </c>
      <c r="K82" s="3" t="str">
        <v>Не обнаружен</v>
      </c>
      <c r="L82" s="7" t="str">
        <v>https://www.facebook.com/tpa.net</v>
      </c>
      <c r="M82" s="3" t="str">
        <v>Не обнаружен</v>
      </c>
      <c r="N82" s="3" t="str">
        <v>Не обнаружен</v>
      </c>
      <c r="O82" s="3" t="str">
        <v>Не обнаружен</v>
      </c>
      <c r="P82" s="3" t="str">
        <v>Не обнаружен</v>
      </c>
      <c r="Q82" s="3" t="str">
        <v>Не обнаружен</v>
      </c>
      <c r="R82" s="3" t="str">
        <v>Не обнаружен</v>
      </c>
      <c r="S82" s="3" t="str">
        <v>王華</v>
      </c>
      <c r="T82" s="3" t="str">
        <v>Президент (會長)</v>
      </c>
      <c r="U82" s="7" t="str">
        <v>https://tpatw.org/abouttpa/organize_14/</v>
      </c>
      <c r="V82" s="7" t="str">
        <v>https://tpatw.org/abouttpa/constitution/</v>
      </c>
      <c r="W82" s="3" t="str">
        <v>Не обнаружено</v>
      </c>
      <c r="X82" s="3" t="str">
        <v>Действующий президент 14-го состава — 王華. Старый президент 洪子偉 входит в правление как рядовой член. Дополнительный охват вне списка 195 членов и наблюдателей ООН; самостоятельная организация от 中國哲學會.</v>
      </c>
      <c r="Y82" s="6" t="n">
        <v>46300</v>
      </c>
    </row>
    <row r="83" ht="61" customHeight="1">
      <c r="A83" s="8" t="n">
        <v>82</v>
      </c>
      <c r="B83" s="3" t="str">
        <v>Того</v>
      </c>
      <c r="C83" s="3" t="str">
        <v>Тоголезское философское общество</v>
      </c>
      <c r="D83" s="3" t="str">
        <v>Société togolaise de philosophie</v>
      </c>
      <c r="E83" s="3" t="str">
        <v>Национальное философское общество</v>
      </c>
      <c r="F83" s="3" t="str">
        <v>Общество философов Того; мероприятия при Университете Ломе и других высших учебных заведениях.</v>
      </c>
      <c r="G83" s="3" t="str">
        <v>Не обнаружен</v>
      </c>
      <c r="H83" s="3" t="str">
        <v>Не обнаружен</v>
      </c>
      <c r="I83" s="3" t="str">
        <v>Не обнаружен</v>
      </c>
      <c r="J83" s="3" t="str">
        <v>Не обнаружен</v>
      </c>
      <c r="K83" s="3" t="str">
        <v>Не обнаружен</v>
      </c>
      <c r="L83" s="3" t="str">
        <v>Не обнаружен</v>
      </c>
      <c r="M83" s="3" t="str">
        <v>Не обнаружен</v>
      </c>
      <c r="N83" s="3" t="str">
        <v>Не обнаружен</v>
      </c>
      <c r="O83" s="3" t="str">
        <v>Не обнаружен</v>
      </c>
      <c r="P83" s="3" t="str">
        <v>Не обнаружен</v>
      </c>
      <c r="Q83" s="3" t="str">
        <v>Не обнаружен</v>
      </c>
      <c r="R83" s="3" t="str">
        <v>Не обнаружен</v>
      </c>
      <c r="S83" s="9" t="str">
        <v>Не удалось достоверно установить</v>
      </c>
      <c r="T83" s="9" t="str">
        <v>Не удалось достоверно установить</v>
      </c>
      <c r="U83" s="3" t="str">
        <v>Не обнаружен</v>
      </c>
      <c r="V83" s="7" t="str">
        <v>https://jo.gouv.tg/sites/default/files/annee/2013/jo%202013-29ter%20suppl.pdf</v>
      </c>
      <c r="W83" s="3" t="str">
        <v>Не обнаружено</v>
      </c>
      <c r="X83" s="3" t="str">
        <v>Регистрация подтверждена официальным государственным бюллетенем. Современная деятельность дополнительно подтверждена ISDB в ноябре 2025: Президент Komi Kouvon указан в прессе 2024; актуальность на 2026 не доказана. Дополнительные подтверждения приведены на листе «Источники».</v>
      </c>
      <c r="Y83" s="6" t="n">
        <v>46300</v>
      </c>
    </row>
    <row r="84" ht="61" customHeight="1">
      <c r="A84" s="8" t="n">
        <v>83</v>
      </c>
      <c r="B84" s="3" t="str">
        <v>Тунис</v>
      </c>
      <c r="C84" s="3" t="str">
        <v>Тунисская ассоциация философских исследований</v>
      </c>
      <c r="D84" s="3" t="str">
        <v>Association Tunisienne des Études Philosophiques</v>
      </c>
      <c r="E84" s="3" t="str">
        <v>Национальное научное общество</v>
      </c>
      <c r="F84" s="3" t="str">
        <v>Дом культурных ассоциаций, Тунис</v>
      </c>
      <c r="G84" s="7" t="str">
        <v>https://ateph.wordpress.com/</v>
      </c>
      <c r="H84" s="3" t="str">
        <v>Не обнаружен</v>
      </c>
      <c r="I84" s="3" t="str">
        <v>Не обнаружен</v>
      </c>
      <c r="J84" s="3" t="str">
        <v>Не обнаружен</v>
      </c>
      <c r="K84" s="3" t="str">
        <v>Не обнаружен</v>
      </c>
      <c r="L84" s="3" t="str">
        <v>Не обнаружен</v>
      </c>
      <c r="M84" s="3" t="str">
        <v>Не обнаружен</v>
      </c>
      <c r="N84" s="3" t="str">
        <v>Не обнаружен</v>
      </c>
      <c r="O84" s="3" t="str">
        <v>Не обнаружен</v>
      </c>
      <c r="P84" s="3" t="str">
        <v>Не обнаружен</v>
      </c>
      <c r="Q84" s="3" t="str">
        <v>Не обнаружен</v>
      </c>
      <c r="R84" s="3" t="str">
        <v>Не обнаружен</v>
      </c>
      <c r="S84" s="9" t="str">
        <v>Не удалось достоверно установить</v>
      </c>
      <c r="T84" s="9" t="str">
        <v>Не удалось достоверно установить</v>
      </c>
      <c r="U84" s="3" t="str">
        <v>Не обнаружен</v>
      </c>
      <c r="V84" s="7" t="str">
        <v>https://asplf.org/liste-des-societes/</v>
      </c>
      <c r="W84" s="3" t="str">
        <v>ASPLF (Ассоциация философских обществ французского языка)</v>
      </c>
      <c r="X84" s="3" t="str">
        <v>Официальная страница подтверждает ассоциацию и адрес, но практически не содержит сведений об актуальном руководстве. Историческое издание المجلة التونسية للدراسات الفلسفية подтверждено Национальной библиотекой; современная связь / продолжение издания требуют проверки.</v>
      </c>
      <c r="Y84" s="6" t="n">
        <v>46300</v>
      </c>
    </row>
    <row r="85" ht="48" customHeight="1">
      <c r="A85" s="8" t="n">
        <v>84</v>
      </c>
      <c r="B85" s="3" t="str">
        <v>Турция</v>
      </c>
      <c r="C85" s="3" t="str">
        <v>Философское общество Турции</v>
      </c>
      <c r="D85" s="3" t="str">
        <v>Türkiye Felsefe Kurumu</v>
      </c>
      <c r="E85" s="3" t="str">
        <v>Профессиональное общество</v>
      </c>
      <c r="F85" s="3" t="str">
        <v>Самостоятельное общество; Анкара</v>
      </c>
      <c r="G85" s="7" t="str">
        <v>https://www.tfk.org.tr/</v>
      </c>
      <c r="H85" s="3" t="str">
        <v>Не обнаружен</v>
      </c>
      <c r="I85" s="3" t="str">
        <v>Не обнаружен</v>
      </c>
      <c r="J85" s="3" t="str">
        <v>Не обнаружен</v>
      </c>
      <c r="K85" s="3" t="str">
        <v>Не обнаружен</v>
      </c>
      <c r="L85" s="3" t="str">
        <v>Не обнаружен</v>
      </c>
      <c r="M85" s="7" t="str">
        <v>https://www.instagram.com/trfelsefekurumu/</v>
      </c>
      <c r="N85" s="7" t="str">
        <v>https://twitter.com/TRFelsefeKurumu</v>
      </c>
      <c r="O85" s="3" t="str">
        <v>Не обнаружен</v>
      </c>
      <c r="P85" s="3" t="str">
        <v>Не обнаружен</v>
      </c>
      <c r="Q85" s="3" t="str">
        <v>Не обнаружен</v>
      </c>
      <c r="R85" s="3" t="str">
        <v>Не обнаружен</v>
      </c>
      <c r="S85" s="9" t="str">
        <v>Не удалось достоверно установить</v>
      </c>
      <c r="T85" s="9" t="str">
        <v>Не удалось достоверно установить</v>
      </c>
      <c r="U85" s="7" t="str">
        <v>https://www.tfk.org.tr/k-a-m-u-o-y-u-n-a-d-u-y-u-r-u562.html</v>
      </c>
      <c r="V85" s="7" t="str">
        <v>https://www.tfk.org.tr/</v>
      </c>
      <c r="W85" s="3" t="str">
        <v>FISP</v>
      </c>
      <c r="X85" s="3" t="str">
        <v>Страница правления продолжает указывать İoanna Kuçuradi, но более свежее официальное сообщение сообщает о ее смерти и церемонии 04.10.2026. Преемник / исполняющий обязанности не подтвержден.</v>
      </c>
      <c r="Y85" s="6" t="n">
        <v>46300</v>
      </c>
    </row>
    <row r="86" ht="48" customHeight="1">
      <c r="A86" s="8" t="n">
        <v>85</v>
      </c>
      <c r="B86" s="3" t="str">
        <v>Узбекистан</v>
      </c>
      <c r="C86" s="3" t="str">
        <v>Философское общество Узбекистана</v>
      </c>
      <c r="D86" s="3" t="str">
        <v>O‘zbekiston falsafa jamiyati</v>
      </c>
      <c r="E86" s="3" t="str">
        <v>Профессиональное общество</v>
      </c>
      <c r="F86" s="3" t="str">
        <v>Не удалось достоверно установить</v>
      </c>
      <c r="G86" s="3" t="str">
        <v>Не обнаружен</v>
      </c>
      <c r="H86" s="3" t="str">
        <v>Не обнаружен</v>
      </c>
      <c r="I86" s="3" t="str">
        <v>Не обнаружен</v>
      </c>
      <c r="J86" s="3" t="str">
        <v>Не обнаружен</v>
      </c>
      <c r="K86" s="3" t="str">
        <v>Не обнаружен</v>
      </c>
      <c r="L86" s="3" t="str">
        <v>Не обнаружен</v>
      </c>
      <c r="M86" s="3" t="str">
        <v>Не обнаружен</v>
      </c>
      <c r="N86" s="3" t="str">
        <v>Не обнаружен</v>
      </c>
      <c r="O86" s="3" t="str">
        <v>Не обнаружен</v>
      </c>
      <c r="P86" s="3" t="str">
        <v>Не обнаружен</v>
      </c>
      <c r="Q86" s="3" t="str">
        <v>Не обнаружен</v>
      </c>
      <c r="R86" s="3" t="str">
        <v>Не обнаружен</v>
      </c>
      <c r="S86" s="9" t="str">
        <v>Не удалось достоверно установить</v>
      </c>
      <c r="T86" s="9" t="str">
        <v>Не удалось достоверно установить</v>
      </c>
      <c r="U86" s="3" t="str">
        <v>Не обнаружен</v>
      </c>
      <c r="V86" s="7" t="str">
        <v>https://www.fisp.org/members/national-societies</v>
      </c>
      <c r="W86" s="3" t="str">
        <v>FISP</v>
      </c>
      <c r="X86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86" s="6" t="n">
        <v>46300</v>
      </c>
    </row>
    <row r="87" ht="48" customHeight="1">
      <c r="A87" s="8" t="n">
        <v>86</v>
      </c>
      <c r="B87" s="3" t="str">
        <v>Украина</v>
      </c>
      <c r="C87" s="3" t="str">
        <v>Украинский философский фонд</v>
      </c>
      <c r="D87" s="3" t="str">
        <v>Український філософський фонд</v>
      </c>
      <c r="E87" s="3" t="str">
        <v>Национальное общественное объединение</v>
      </c>
      <c r="F87" s="3" t="str">
        <v>Не удалось достоверно установить</v>
      </c>
      <c r="G87" s="3" t="str">
        <v>Не обнаружен</v>
      </c>
      <c r="H87" s="3" t="str">
        <v>Не обнаружен</v>
      </c>
      <c r="I87" s="3" t="str">
        <v>Не обнаружен</v>
      </c>
      <c r="J87" s="3" t="str">
        <v>Не обнаружен</v>
      </c>
      <c r="K87" s="3" t="str">
        <v>Не обнаружен</v>
      </c>
      <c r="L87" s="3" t="str">
        <v>Не обнаружен</v>
      </c>
      <c r="M87" s="3" t="str">
        <v>Не обнаружен</v>
      </c>
      <c r="N87" s="3" t="str">
        <v>Не обнаружен</v>
      </c>
      <c r="O87" s="3" t="str">
        <v>Не обнаружен</v>
      </c>
      <c r="P87" s="3" t="str">
        <v>Не обнаружен</v>
      </c>
      <c r="Q87" s="3" t="str">
        <v>Не обнаружен</v>
      </c>
      <c r="R87" s="3" t="str">
        <v>Не обнаружен</v>
      </c>
      <c r="S87" s="9" t="str">
        <v>Не удалось достоверно установить</v>
      </c>
      <c r="T87" s="9" t="str">
        <v>Не удалось достоверно установить</v>
      </c>
      <c r="U87" s="3" t="str">
        <v>Не обнаружен</v>
      </c>
      <c r="V87" s="7" t="str">
        <v>https://www.fisp.org/members/national-societies</v>
      </c>
      <c r="W87" s="3" t="str">
        <v>FISP</v>
      </c>
      <c r="X87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87" s="6" t="n">
        <v>46300</v>
      </c>
    </row>
    <row r="88" ht="48" customHeight="1">
      <c r="A88" s="8" t="n">
        <v>87</v>
      </c>
      <c r="B88" s="3" t="str">
        <v>Уругвай</v>
      </c>
      <c r="C88" s="3" t="str">
        <v>Философское общество Уругвая</v>
      </c>
      <c r="D88" s="3" t="str">
        <v>Sociedad Filosófica del Uruguay</v>
      </c>
      <c r="E88" s="3" t="str">
        <v>Профессиональное общество</v>
      </c>
      <c r="F88" s="3" t="str">
        <v>Не удалось достоверно установить</v>
      </c>
      <c r="G88" s="7" t="str">
        <v>https://sfu.org.uy/</v>
      </c>
      <c r="H88" s="3" t="str">
        <v>Elenkhos – Revista de la Sociedad Filosófica del Uruguay</v>
      </c>
      <c r="I88" s="7" t="str">
        <v>https://www.elenkhos.sfu.org.uy/index.php/home/</v>
      </c>
      <c r="J88" s="3" t="str">
        <v>Не обнаружен</v>
      </c>
      <c r="K88" s="3" t="str">
        <v>Не обнаружен</v>
      </c>
      <c r="L88" s="3" t="str">
        <v>Не обнаружен</v>
      </c>
      <c r="M88" s="3" t="str">
        <v>Не обнаружен</v>
      </c>
      <c r="N88" s="3" t="str">
        <v>Не обнаружен</v>
      </c>
      <c r="O88" s="3" t="str">
        <v>Не обнаружен</v>
      </c>
      <c r="P88" s="3" t="str">
        <v>Не обнаружен</v>
      </c>
      <c r="Q88" s="3" t="str">
        <v>Не обнаружен</v>
      </c>
      <c r="R88" s="3" t="str">
        <v>Не обнаружен</v>
      </c>
      <c r="S88" s="3" t="str">
        <v>Alejandro Nogara</v>
      </c>
      <c r="T88" s="3" t="str">
        <v>Президент (Presidente)</v>
      </c>
      <c r="U88" s="7" t="str">
        <v>https://sfu.org.uy/organos-de-gobierno/</v>
      </c>
      <c r="V88" s="7" t="str">
        <v>https://sfu.org.uy/estatutos/</v>
      </c>
      <c r="W88" s="3" t="str">
        <v>FISP</v>
      </c>
      <c r="X88" s="3" t="str">
        <v>Дополнительные замечания не обнаружены.</v>
      </c>
      <c r="Y88" s="6" t="n">
        <v>46300</v>
      </c>
    </row>
    <row r="89" ht="61" customHeight="1">
      <c r="A89" s="8" t="n">
        <v>88</v>
      </c>
      <c r="B89" s="3" t="str">
        <v>Филиппины</v>
      </c>
      <c r="C89" s="3" t="str">
        <v>Союз философских обществ и ассоциаций Филиппин</v>
      </c>
      <c r="D89" s="3" t="str">
        <v>Union of Societies and Associations of Philosophy in the Philippines</v>
      </c>
      <c r="E89" s="3" t="str">
        <v>Национальная федерация философских организаций</v>
      </c>
      <c r="F89" s="3" t="str">
        <v>Союз самостоятельных философских обществ; саммиты на базе университетов Филиппин.</v>
      </c>
      <c r="G89" s="3" t="str">
        <v>Не обнаружен</v>
      </c>
      <c r="H89" s="3" t="str">
        <v>Не обнаружен</v>
      </c>
      <c r="I89" s="3" t="str">
        <v>Не обнаружен</v>
      </c>
      <c r="J89" s="3" t="str">
        <v>Не обнаружен</v>
      </c>
      <c r="K89" s="3" t="str">
        <v>Не обнаружен</v>
      </c>
      <c r="L89" s="3" t="str">
        <v>Не обнаружен</v>
      </c>
      <c r="M89" s="3" t="str">
        <v>Не обнаружен</v>
      </c>
      <c r="N89" s="3" t="str">
        <v>Не обнаружен</v>
      </c>
      <c r="O89" s="3" t="str">
        <v>Не обнаружен</v>
      </c>
      <c r="P89" s="3" t="str">
        <v>Не обнаружен</v>
      </c>
      <c r="Q89" s="3" t="str">
        <v>Не обнаружен</v>
      </c>
      <c r="R89" s="3" t="str">
        <v>Не обнаружен</v>
      </c>
      <c r="S89" s="9" t="str">
        <v>Не удалось достоверно установить</v>
      </c>
      <c r="T89" s="9" t="str">
        <v>Не удалось достоверно установить</v>
      </c>
      <c r="U89" s="3" t="str">
        <v>Не обнаружен</v>
      </c>
      <c r="V89" s="7" t="str">
        <v>https://bisu.edu.ph/2025/06/17/philosophizing-the-filipino-soul-usapp-summit-champions-identity-ethics-and-cultural-reflection/</v>
      </c>
      <c r="W89" s="3" t="str">
        <v>Не обнаружено</v>
      </c>
      <c r="X89" s="3" t="str">
        <v>USAPP — федерация обществ, PAP — самостоятельная общепрофильная ассоциация. Существование и деятельность в 2025 подтверждены университетом-организатором. В некоторых источниках вариант Union of Philosophical Societies and Associations in the Philippines; юридическое название требует сверки.</v>
      </c>
      <c r="Y89" s="6" t="n">
        <v>46300</v>
      </c>
    </row>
    <row r="90" ht="61" customHeight="1">
      <c r="A90" s="8" t="n">
        <v>89</v>
      </c>
      <c r="B90" s="3" t="str">
        <v>Филиппины</v>
      </c>
      <c r="C90" s="3" t="str">
        <v>Филиппинская академия философских исследований</v>
      </c>
      <c r="D90" s="3" t="str">
        <v>Philippine Academy of Philosophical Research</v>
      </c>
      <c r="E90" s="3" t="str">
        <v>Национальная философская академия</v>
      </c>
      <c r="F90" s="3" t="str">
        <v>Не удалось достоверно установить</v>
      </c>
      <c r="G90" s="3" t="str">
        <v>Не обнаружен</v>
      </c>
      <c r="H90" s="3" t="str">
        <v>Не обнаружен</v>
      </c>
      <c r="I90" s="3" t="str">
        <v>Не обнаружен</v>
      </c>
      <c r="J90" s="3" t="str">
        <v>Не обнаружен</v>
      </c>
      <c r="K90" s="3" t="str">
        <v>Не обнаружен</v>
      </c>
      <c r="L90" s="3" t="str">
        <v>Не обнаружен</v>
      </c>
      <c r="M90" s="3" t="str">
        <v>Не обнаружен</v>
      </c>
      <c r="N90" s="3" t="str">
        <v>Не обнаружен</v>
      </c>
      <c r="O90" s="3" t="str">
        <v>Не обнаружен</v>
      </c>
      <c r="P90" s="3" t="str">
        <v>Не обнаружен</v>
      </c>
      <c r="Q90" s="3" t="str">
        <v>Не обнаружен</v>
      </c>
      <c r="R90" s="3" t="str">
        <v>Не обнаружен</v>
      </c>
      <c r="S90" s="9" t="str">
        <v>Не удалось достоверно установить</v>
      </c>
      <c r="T90" s="9" t="str">
        <v>Не удалось достоверно установить</v>
      </c>
      <c r="U90" s="3" t="str">
        <v>Не обнаружен</v>
      </c>
      <c r="V90" s="7" t="str">
        <v>https://www.fisp.org/members/national-societies</v>
      </c>
      <c r="W90" s="3" t="str">
        <v>FISP</v>
      </c>
      <c r="X90" s="3" t="str">
        <v>В текущем списке FISP указана Academy, а не Association; собственный актуальный сайт для сверки названия не найден.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90" s="6" t="n">
        <v>46300</v>
      </c>
    </row>
    <row r="91" ht="61" customHeight="1">
      <c r="A91" s="8" t="n">
        <v>90</v>
      </c>
      <c r="B91" s="3" t="str">
        <v>Филиппины</v>
      </c>
      <c r="C91" s="3" t="str">
        <v>Философская ассоциация Филиппин</v>
      </c>
      <c r="D91" s="3" t="str">
        <v>Philosophical Association of the Philippines, Inc.</v>
      </c>
      <c r="E91" s="3" t="str">
        <v>Профессиональная ассоциация</v>
      </c>
      <c r="F91" s="3" t="str">
        <v>Не удалось достоверно установить</v>
      </c>
      <c r="G91" s="7" t="str">
        <v>https://www.pap73.site/</v>
      </c>
      <c r="H91" s="3" t="str">
        <v>SURI: Journal of the Philosophical Association of the Philippines</v>
      </c>
      <c r="I91" s="7" t="str">
        <v>https://suri.pap73.site/</v>
      </c>
      <c r="J91" s="3" t="str">
        <v>Не обнаружен</v>
      </c>
      <c r="K91" s="3" t="str">
        <v>Не обнаружен</v>
      </c>
      <c r="L91" s="7" t="str">
        <v>https://www.facebook.com/groups/PAP73</v>
      </c>
      <c r="M91" s="3" t="str">
        <v>Не обнаружен</v>
      </c>
      <c r="N91" s="3" t="str">
        <v>Не обнаружен</v>
      </c>
      <c r="O91" s="3" t="str">
        <v>Не обнаружен</v>
      </c>
      <c r="P91" s="3" t="str">
        <v>Не обнаружен</v>
      </c>
      <c r="Q91" s="3" t="str">
        <v>Не обнаружен</v>
      </c>
      <c r="R91" s="3" t="str">
        <v>Не обнаружен</v>
      </c>
      <c r="S91" s="3" t="str">
        <v>Ruby S. Suazo</v>
      </c>
      <c r="T91" s="3" t="str">
        <v>Президент (President)</v>
      </c>
      <c r="U91" s="7" t="str">
        <v>https://www.pap73.site/board-members.html</v>
      </c>
      <c r="V91" s="7" t="str">
        <v>https://www.pap73.site/</v>
      </c>
      <c r="W91" s="3" t="str">
        <v>FISP</v>
      </c>
      <c r="X91" s="3" t="str">
        <v>Действующий Board of Officers опубликован на официальном сайте в виде изображения: На изображении президент Ruby S. Suazo; старые биографии Jeremiah Joven Joaquin не перенесены. Срок полномочий на странице не указан. Дополнительные подтверждения приведены на листе «Источники».</v>
      </c>
      <c r="Y91" s="6" t="n">
        <v>46300</v>
      </c>
    </row>
    <row r="92" ht="48" customHeight="1">
      <c r="A92" s="8" t="n">
        <v>91</v>
      </c>
      <c r="B92" s="3" t="str">
        <v>Финляндия</v>
      </c>
      <c r="C92" s="3" t="str">
        <v>Философское общество Финляндии</v>
      </c>
      <c r="D92" s="3" t="str">
        <v>Suomen Filosofinen Yhdistys</v>
      </c>
      <c r="E92" s="3" t="str">
        <v>Профессиональное общество</v>
      </c>
      <c r="F92" s="3" t="str">
        <v>Самостоятельное национальное общество</v>
      </c>
      <c r="G92" s="7" t="str">
        <v>https://www.filosofinenyhdistys.fi/</v>
      </c>
      <c r="H92" s="3" t="str">
        <v>Ajatus</v>
      </c>
      <c r="I92" s="7" t="str">
        <v>https://www.filosofinenyhdistys.fi/toiminta/ajatus/</v>
      </c>
      <c r="J92" s="3" t="str">
        <v>Acta Philosophica Fennica</v>
      </c>
      <c r="K92" s="7" t="str">
        <v>https://www.filosofinenyhdistys.fi/toiminta/acta-philosophica-fennica/</v>
      </c>
      <c r="L92" s="7" t="str">
        <v>https://www.facebook.com/filosofinenyhdistys/</v>
      </c>
      <c r="M92" s="3" t="str">
        <v>Не обнаружен</v>
      </c>
      <c r="N92" s="3" t="str">
        <v>Не обнаружен</v>
      </c>
      <c r="O92" s="3" t="str">
        <v>Не обнаружен</v>
      </c>
      <c r="P92" s="3" t="str">
        <v>Не обнаружен</v>
      </c>
      <c r="Q92" s="3" t="str">
        <v>Не обнаружен</v>
      </c>
      <c r="R92" s="3" t="str">
        <v>Не обнаружен</v>
      </c>
      <c r="S92" s="3" t="str">
        <v>Kristina Rolin</v>
      </c>
      <c r="T92" s="3" t="str">
        <v>Председатель (Puheenjohtaja)</v>
      </c>
      <c r="U92" s="7" t="str">
        <v>https://www.filosofinenyhdistys.fi/yhdistys/hallitus/</v>
      </c>
      <c r="V92" s="7" t="str">
        <v>https://www.filosofinenyhdistys.fi/yhdistys/saannot/</v>
      </c>
      <c r="W92" s="3" t="str">
        <v>FISP</v>
      </c>
      <c r="X92" s="3" t="str">
        <v>Состав правления 2026 года. Filosofiska Föreningen i Finland — шведское название того же общества; не отдельная организация. Acta Philosophica Fennica — научная серия монографий / сборников.</v>
      </c>
      <c r="Y92" s="6" t="n">
        <v>46300</v>
      </c>
    </row>
    <row r="93" ht="48" customHeight="1">
      <c r="A93" s="8" t="n">
        <v>92</v>
      </c>
      <c r="B93" s="3" t="str">
        <v>Франция</v>
      </c>
      <c r="C93" s="3" t="str">
        <v>Французское философское общество</v>
      </c>
      <c r="D93" s="3" t="str">
        <v>Société française de philosophie</v>
      </c>
      <c r="E93" s="3" t="str">
        <v>Научное общество</v>
      </c>
      <c r="F93" s="3" t="str">
        <v>Самостоятельное общество; национальное научное сообщество</v>
      </c>
      <c r="G93" s="7" t="str">
        <v>https://www.sofrphilo.fr/</v>
      </c>
      <c r="H93" s="3" t="str">
        <v>Bulletin de la Société française de philosophie</v>
      </c>
      <c r="I93" s="7" t="str">
        <v>https://www.sofrphilo.fr/category/bulletin-de-la-sfp/</v>
      </c>
      <c r="J93" s="3" t="str">
        <v>Revue de métaphysique et de morale</v>
      </c>
      <c r="K93" s="7" t="str">
        <v>https://www.sofrphilo.fr/category/revue-de-metaphysique-et-de-morale/</v>
      </c>
      <c r="L93" s="3" t="str">
        <v>Не обнаружен</v>
      </c>
      <c r="M93" s="3" t="str">
        <v>Не обнаружен</v>
      </c>
      <c r="N93" s="3" t="str">
        <v>Не обнаружен</v>
      </c>
      <c r="O93" s="3" t="str">
        <v>Не обнаружен</v>
      </c>
      <c r="P93" s="3" t="str">
        <v>Не обнаружен</v>
      </c>
      <c r="Q93" s="3" t="str">
        <v>Не обнаружен</v>
      </c>
      <c r="R93" s="3" t="str">
        <v>Не обнаружен</v>
      </c>
      <c r="S93" s="3" t="str">
        <v>Denis Kambouchner</v>
      </c>
      <c r="T93" s="3" t="str">
        <v>Президент (Président)</v>
      </c>
      <c r="U93" s="7" t="str">
        <v>https://www.sofrphilo.fr/la-societe-francaise-de-philosophie/bureau-et-ca/</v>
      </c>
      <c r="V93" s="7" t="str">
        <v>https://www.sofrphilo.fr/</v>
      </c>
      <c r="W93" s="3" t="str">
        <v>FISP</v>
      </c>
      <c r="X93" s="3" t="str">
        <v>Актуальный состав бюро:дополнительные выборы 21.03.2026. SFP издает Bulletin и является владельцем Revue de métaphysique et de morale. Revue philosophique de la France et de l'étranger не приписана SFP.</v>
      </c>
      <c r="Y93" s="6" t="n">
        <v>46300</v>
      </c>
    </row>
    <row r="94" ht="48" customHeight="1">
      <c r="A94" s="8" t="n">
        <v>93</v>
      </c>
      <c r="B94" s="3" t="str">
        <v>Хорватия</v>
      </c>
      <c r="C94" s="3" t="str">
        <v>Хорватское философское общество</v>
      </c>
      <c r="D94" s="3" t="str">
        <v>Hrvatsko filozofsko društvo</v>
      </c>
      <c r="E94" s="3" t="str">
        <v>Профессиональное общество</v>
      </c>
      <c r="F94" s="3" t="str">
        <v>Самостоятельное общество; Загреб</v>
      </c>
      <c r="G94" s="7" t="str">
        <v>https://www.hrfd.hr/</v>
      </c>
      <c r="H94" s="3" t="str">
        <v>Filozofska istraživanja</v>
      </c>
      <c r="I94" s="7" t="str">
        <v>https://www.hrfd.hr/filozofska-istrazivanja/</v>
      </c>
      <c r="J94" s="3" t="str">
        <v>Synthesis philosophica</v>
      </c>
      <c r="K94" s="7" t="str">
        <v>https://www.hrfd.hr/synthesis-philosophica/</v>
      </c>
      <c r="L94" s="3" t="str">
        <v>Не обнаружен</v>
      </c>
      <c r="M94" s="3" t="str">
        <v>Не обнаружен</v>
      </c>
      <c r="N94" s="3" t="str">
        <v>Не обнаружен</v>
      </c>
      <c r="O94" s="3" t="str">
        <v>Не обнаружен</v>
      </c>
      <c r="P94" s="3" t="str">
        <v>Не обнаружен</v>
      </c>
      <c r="Q94" s="3" t="str">
        <v>Не обнаружен</v>
      </c>
      <c r="R94" s="3" t="str">
        <v>Не обнаружен</v>
      </c>
      <c r="S94" s="3" t="str">
        <v>Stjepan Radić</v>
      </c>
      <c r="T94" s="3" t="str">
        <v>Президент / председатель правления (Predsjednik)</v>
      </c>
      <c r="U94" s="7" t="str">
        <v>https://www.hrfd.hr/o-hfd-u/upravni-i-nadzorni-odbor-hfd-a/</v>
      </c>
      <c r="V94" s="7" t="str">
        <v>https://www.hrfd.hr/o-hfd-u/statut-hfd-a/</v>
      </c>
      <c r="W94" s="3" t="str">
        <v>FISP</v>
      </c>
      <c r="X94" s="3" t="str">
        <v>Также издает Metodički ogledi. Председатель надзорного совета не смешан с главой правления.</v>
      </c>
      <c r="Y94" s="6" t="n">
        <v>46300</v>
      </c>
    </row>
    <row r="95" ht="74" customHeight="1">
      <c r="A95" s="8" t="n">
        <v>94</v>
      </c>
      <c r="B95" s="3" t="str">
        <v>Черногория</v>
      </c>
      <c r="C95" s="3" t="str">
        <v>Черногорская ассоциация преподавателей философии</v>
      </c>
      <c r="D95" s="3" t="str">
        <v>Udruženje profesora filozofije</v>
      </c>
      <c r="E95" s="3" t="str">
        <v>Национальная профессиональная ассоциация</v>
      </c>
      <c r="F95" s="3" t="str">
        <v>Не удалось достоверно установить</v>
      </c>
      <c r="G95" s="3" t="str">
        <v>Не обнаружен</v>
      </c>
      <c r="H95" s="3" t="str">
        <v>Не обнаружен</v>
      </c>
      <c r="I95" s="3" t="str">
        <v>Не обнаружен</v>
      </c>
      <c r="J95" s="3" t="str">
        <v>Не обнаружен</v>
      </c>
      <c r="K95" s="3" t="str">
        <v>Не обнаружен</v>
      </c>
      <c r="L95" s="3" t="str">
        <v>Не обнаружен</v>
      </c>
      <c r="M95" s="3" t="str">
        <v>Не обнаружен</v>
      </c>
      <c r="N95" s="3" t="str">
        <v>Не обнаружен</v>
      </c>
      <c r="O95" s="3" t="str">
        <v>Не обнаружен</v>
      </c>
      <c r="P95" s="3" t="str">
        <v>Не обнаружен</v>
      </c>
      <c r="Q95" s="3" t="str">
        <v>Не обнаружен</v>
      </c>
      <c r="R95" s="3" t="str">
        <v>Не обнаружен</v>
      </c>
      <c r="S95" s="9" t="str">
        <v>Не удалось достоверно установить</v>
      </c>
      <c r="T95" s="9" t="str">
        <v>Не удалось достоверно установить</v>
      </c>
      <c r="U95" s="3" t="str">
        <v>Не обнаружен</v>
      </c>
      <c r="V95" s="7" t="str">
        <v>https://www.fisp.org/members/national-societies</v>
      </c>
      <c r="W95" s="3" t="str">
        <v>FISP</v>
      </c>
      <c r="X95" s="3" t="str">
        <v>Национальное объединение преподавателей, включенное FISP. Указанный FISP старый сайт Webs не подтвержден как доступный. Форма названия на языке оригинала приведена в текущем национальном списке FISP; самостоятельный современный сайт недоступен.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95" s="6" t="n">
        <v>46300</v>
      </c>
    </row>
    <row r="96" ht="48" customHeight="1">
      <c r="A96" s="8" t="n">
        <v>95</v>
      </c>
      <c r="B96" s="3" t="str">
        <v>Чехия</v>
      </c>
      <c r="C96" s="3" t="str">
        <v>Философское объединение Чехии</v>
      </c>
      <c r="D96" s="3" t="str">
        <v>Jednota filozofická</v>
      </c>
      <c r="E96" s="3" t="str">
        <v>Национальное профессиональное объединение</v>
      </c>
      <c r="F96" s="3" t="str">
        <v>Не удалось достоверно установить</v>
      </c>
      <c r="G96" s="7" t="str">
        <v>https://jednota-filozoficka.cz/</v>
      </c>
      <c r="H96" s="3" t="str">
        <v>Не обнаружен</v>
      </c>
      <c r="I96" s="3" t="str">
        <v>Не обнаружен</v>
      </c>
      <c r="J96" s="3" t="str">
        <v>Не обнаружен</v>
      </c>
      <c r="K96" s="3" t="str">
        <v>Не обнаружен</v>
      </c>
      <c r="L96" s="3" t="str">
        <v>Не обнаружен</v>
      </c>
      <c r="M96" s="3" t="str">
        <v>Не обнаружен</v>
      </c>
      <c r="N96" s="3" t="str">
        <v>Не обнаружен</v>
      </c>
      <c r="O96" s="3" t="str">
        <v>Не обнаружен</v>
      </c>
      <c r="P96" s="3" t="str">
        <v>Не обнаружен</v>
      </c>
      <c r="Q96" s="3" t="str">
        <v>Не обнаружен</v>
      </c>
      <c r="R96" s="3" t="str">
        <v>Не обнаружен</v>
      </c>
      <c r="S96" s="9" t="str">
        <v>Не удалось достоверно установить</v>
      </c>
      <c r="T96" s="9" t="str">
        <v>Не удалось достоверно установить</v>
      </c>
      <c r="U96" s="3" t="str">
        <v>Не обнаружен</v>
      </c>
      <c r="V96" s="7" t="str">
        <v>https://stag.upol.cz/ects/fakulty/FIF/KFI/BJ20L?lang=cs</v>
      </c>
      <c r="W96" s="3" t="str">
        <v>FISP</v>
      </c>
      <c r="X96" s="3" t="str">
        <v>Университет Палацкого описывает действующее добровольное объединение философов и его отделение в учебном каталоге 2026/2027. Член FISP; отдельный сайт не удалось открыть. Доступ к официальному сайту: При проверке не открылся; HTTP 502.</v>
      </c>
      <c r="Y96" s="6" t="n">
        <v>46300</v>
      </c>
    </row>
    <row r="97" ht="61" customHeight="1">
      <c r="A97" s="8" t="n">
        <v>96</v>
      </c>
      <c r="B97" s="3" t="str">
        <v>Чили</v>
      </c>
      <c r="C97" s="3" t="str">
        <v>Чилийская философская ассоциация</v>
      </c>
      <c r="D97" s="3" t="str">
        <v>Asociación Chilena de Filosofía</v>
      </c>
      <c r="E97" s="3" t="str">
        <v>Профессиональная ассоциация</v>
      </c>
      <c r="F97" s="3" t="str">
        <v>Не удалось достоверно установить</v>
      </c>
      <c r="G97" s="7" t="str">
        <v>https://www.achif.cl/</v>
      </c>
      <c r="H97" s="3" t="str">
        <v>Не обнаружен</v>
      </c>
      <c r="I97" s="3" t="str">
        <v>Не обнаружен</v>
      </c>
      <c r="J97" s="3" t="str">
        <v>Не обнаружен</v>
      </c>
      <c r="K97" s="3" t="str">
        <v>Не обнаружен</v>
      </c>
      <c r="L97" s="3" t="str">
        <v>Не обнаружен</v>
      </c>
      <c r="M97" s="3" t="str">
        <v>Не обнаружен</v>
      </c>
      <c r="N97" s="3" t="str">
        <v>Не обнаружен</v>
      </c>
      <c r="O97" s="3" t="str">
        <v>Не обнаружен</v>
      </c>
      <c r="P97" s="3" t="str">
        <v>Не обнаружен</v>
      </c>
      <c r="Q97" s="3" t="str">
        <v>Не обнаружен</v>
      </c>
      <c r="R97" s="3" t="str">
        <v>Не обнаружен</v>
      </c>
      <c r="S97" s="3" t="str">
        <v>Jean-Paul Grasset</v>
      </c>
      <c r="T97" s="3" t="str">
        <v>Президент (Presidente)</v>
      </c>
      <c r="U97" s="7" t="str">
        <v>https://cs-religiosas.uct.cl/noticias/x-congreso-nacional-de-filosofia-de-la-asociacion-chilena-de-filosofia-se-realizara-en-temuco/</v>
      </c>
      <c r="V97" s="7" t="str">
        <v>https://www.achif.cl/estatutos/</v>
      </c>
      <c r="W97" s="3" t="str">
        <v>FISP</v>
      </c>
      <c r="X97" s="3" t="str">
        <v>Новый состав избран на конгрессе в ноябре 2025; следующий национальный конгресс — 2027. Руководство подтверждено университетом нового президента. Сайт организации не загрузился через исследовательский инструмент. Доступ к официальному сайту: При проверке не открылся; HTTP 502.</v>
      </c>
      <c r="Y97" s="6" t="n">
        <v>46300</v>
      </c>
    </row>
    <row r="98" ht="48" customHeight="1">
      <c r="A98" s="8" t="n">
        <v>97</v>
      </c>
      <c r="B98" s="3" t="str">
        <v>Швейцария</v>
      </c>
      <c r="C98" s="3" t="str">
        <v>Швейцарское философское общество</v>
      </c>
      <c r="D98" s="3" t="str">
        <v>Schweizerische Philosophische Gesellschaft</v>
      </c>
      <c r="E98" s="3" t="str">
        <v>Федеративное научное общество</v>
      </c>
      <c r="F98" s="3" t="str">
        <v>Общество в составе Швейцарской академии гуманитарных и социальных наук (SAGW / ASSH)</v>
      </c>
      <c r="G98" s="7" t="str">
        <v>https://www.sagw.ch/de/spg</v>
      </c>
      <c r="H98" s="3" t="str">
        <v>Studia philosophica</v>
      </c>
      <c r="I98" s="7" t="str">
        <v>https://www.sagw.ch/de/spg/publikationen</v>
      </c>
      <c r="J98" s="3" t="str">
        <v>Не обнаружен</v>
      </c>
      <c r="K98" s="3" t="str">
        <v>Не обнаружен</v>
      </c>
      <c r="L98" s="3" t="str">
        <v>Не обнаружен</v>
      </c>
      <c r="M98" s="3" t="str">
        <v>Не обнаружен</v>
      </c>
      <c r="N98" s="3" t="str">
        <v>Не обнаружен</v>
      </c>
      <c r="O98" s="3" t="str">
        <v>Не обнаружен</v>
      </c>
      <c r="P98" s="3" t="str">
        <v>Не обнаружен</v>
      </c>
      <c r="Q98" s="3" t="str">
        <v>Не обнаружен</v>
      </c>
      <c r="R98" s="3" t="str">
        <v>Не обнаружен</v>
      </c>
      <c r="S98" s="3" t="str">
        <v>Olivier Massin</v>
      </c>
      <c r="T98" s="3" t="str">
        <v>Президент (Präsident)</v>
      </c>
      <c r="U98" s="7" t="str">
        <v>https://www.sagw.ch/de/spg/vorstand</v>
      </c>
      <c r="V98" s="7" t="str">
        <v>https://www.sagw.ch/de/spg/die-statuten</v>
      </c>
      <c r="W98" s="3" t="str">
        <v>FISP</v>
      </c>
      <c r="X98" s="3" t="str">
        <v>Официальные варианты:Société Suisse de Philosophie; Società Svizzera di Filosofia. Studia philosophica — ежегодная серия / периодическое издание общества.</v>
      </c>
      <c r="Y98" s="6" t="n">
        <v>46300</v>
      </c>
    </row>
    <row r="99" ht="48" customHeight="1">
      <c r="A99" s="8" t="n">
        <v>98</v>
      </c>
      <c r="B99" s="3" t="str">
        <v>Швеция</v>
      </c>
      <c r="C99" s="3" t="str">
        <v>Шведское философское общество</v>
      </c>
      <c r="D99" s="3" t="str">
        <v>Svenska filosofisällskapet</v>
      </c>
      <c r="E99" s="3" t="str">
        <v>Национальное профессиональное общество</v>
      </c>
      <c r="F99" s="3" t="str">
        <v>Сменяемый секретариат при университетах; общество организует Filosofidagarna</v>
      </c>
      <c r="G99" s="3" t="str">
        <v>Не обнаружен</v>
      </c>
      <c r="H99" s="3" t="str">
        <v>Не обнаружен</v>
      </c>
      <c r="I99" s="3" t="str">
        <v>Не обнаружен</v>
      </c>
      <c r="J99" s="3" t="str">
        <v>Не обнаружен</v>
      </c>
      <c r="K99" s="3" t="str">
        <v>Не обнаружен</v>
      </c>
      <c r="L99" s="3" t="str">
        <v>Не обнаружен</v>
      </c>
      <c r="M99" s="3" t="str">
        <v>Не обнаружен</v>
      </c>
      <c r="N99" s="3" t="str">
        <v>Не обнаружен</v>
      </c>
      <c r="O99" s="3" t="str">
        <v>Не обнаружен</v>
      </c>
      <c r="P99" s="3" t="str">
        <v>Не обнаружен</v>
      </c>
      <c r="Q99" s="3" t="str">
        <v>Не обнаружен</v>
      </c>
      <c r="R99" s="3" t="str">
        <v>Не обнаружен</v>
      </c>
      <c r="S99" s="9" t="str">
        <v>Не удалось достоверно установить</v>
      </c>
      <c r="T99" s="9" t="str">
        <v>Не удалось достоверно установить</v>
      </c>
      <c r="U99" s="3" t="str">
        <v>Не обнаружен</v>
      </c>
      <c r="V99" s="7" t="str">
        <v>https://www.umu.se/en/department-of-historical-philosophical-and-religious-studies/research/our-research-subjects/philosophy/swedish-congress-of-philosophy/</v>
      </c>
      <c r="W99" s="3" t="str">
        <v>Не обнаружено</v>
      </c>
      <c r="X99" s="3" t="str">
        <v>Существование и актуальная деятельность подтверждены университетом; следующий национальный конгресс — 2028 год. Отдельный сайт и действующее руководство не установлены.</v>
      </c>
      <c r="Y99" s="6" t="n">
        <v>46300</v>
      </c>
    </row>
    <row r="100" ht="87" customHeight="1">
      <c r="A100" s="8" t="n">
        <v>99</v>
      </c>
      <c r="B100" s="3" t="str">
        <v>Эквадор</v>
      </c>
      <c r="C100" s="3" t="str">
        <v>Эквадорская философская сеть</v>
      </c>
      <c r="D100" s="3" t="str">
        <v>Red Ecuatoriana de Filosofía</v>
      </c>
      <c r="E100" s="3" t="str">
        <v>Национальная сеть философских сообществ</v>
      </c>
      <c r="F100" s="3" t="str">
        <v>Децентрализованная сеть девяти групп; Кито</v>
      </c>
      <c r="G100" s="7" t="str">
        <v>https://recfil.org/</v>
      </c>
      <c r="H100" s="3" t="str">
        <v>Не обнаружен</v>
      </c>
      <c r="I100" s="3" t="str">
        <v>Не обнаружен</v>
      </c>
      <c r="J100" s="3" t="str">
        <v>Не обнаружен</v>
      </c>
      <c r="K100" s="3" t="str">
        <v>Не обнаружен</v>
      </c>
      <c r="L100" s="7" t="str">
        <v>https://www.facebook.com/redecuatorianafilosofia</v>
      </c>
      <c r="M100" s="7" t="str">
        <v>https://www.instagram.com/redecuatorianadefilosofia</v>
      </c>
      <c r="N100" s="3" t="str">
        <v>Не обнаружен</v>
      </c>
      <c r="O100" s="3" t="str">
        <v>Не обнаружен</v>
      </c>
      <c r="P100" s="7" t="str">
        <v>https://www.youtube.com/@redecuatorianadefilosofia</v>
      </c>
      <c r="Q100" s="3" t="str">
        <v>Не обнаружен</v>
      </c>
      <c r="R100" s="3" t="str">
        <v>Не обнаружен</v>
      </c>
      <c r="S100" s="9" t="str">
        <v>Не удалось достоверно установить</v>
      </c>
      <c r="T100" s="9" t="str">
        <v>Не удалось достоверно установить</v>
      </c>
      <c r="U100" s="3" t="str">
        <v>Не обнаружен</v>
      </c>
      <c r="V100" s="7" t="str">
        <v>https://recfil.org/manifiesto/</v>
      </c>
      <c r="W100" s="3" t="str">
        <v>Не обнаружено</v>
      </c>
      <c r="X100" s="3" t="str">
        <v>Исключение:по манифесту от 01.04.2026 объединяет преподавателей, исследователей и другие философские сообщества всей страны. Это открытая сеть, а не исключительно профессиональное членское общество; центральная высшая должность не обозначена. Собственное издание Fragmenta имеет ISSN, но называется блогом; не внесено в журнальные столбцы. Историческая Asociación Ecuatoriana de Filosofía известна по источнику парламента 2010; ее нынешняя активность не подтверждена.</v>
      </c>
      <c r="Y100" s="6" t="n">
        <v>46300</v>
      </c>
    </row>
    <row r="101" ht="61" customHeight="1">
      <c r="A101" s="8" t="n">
        <v>100</v>
      </c>
      <c r="B101" s="3" t="str">
        <v>ЮАР</v>
      </c>
      <c r="C101" s="3" t="str">
        <v>Философское общество Южной Африки</v>
      </c>
      <c r="D101" s="3" t="str">
        <v>Philosophical Society of Southern Africa</v>
      </c>
      <c r="E101" s="3" t="str">
        <v>Профессиональное общество</v>
      </c>
      <c r="F101" s="3" t="str">
        <v>Не удалось достоверно установить</v>
      </c>
      <c r="G101" s="7" t="str">
        <v>https://philsafrica.wordpress.com/</v>
      </c>
      <c r="H101" s="3" t="str">
        <v>South African Journal of Philosophy</v>
      </c>
      <c r="I101" s="7" t="str">
        <v>https://www.tandfonline.com/journals/rsph20</v>
      </c>
      <c r="J101" s="3" t="str">
        <v>Не обнаружен</v>
      </c>
      <c r="K101" s="3" t="str">
        <v>Не обнаружен</v>
      </c>
      <c r="L101" s="3" t="str">
        <v>Не обнаружен</v>
      </c>
      <c r="M101" s="3" t="str">
        <v>Не обнаружен</v>
      </c>
      <c r="N101" s="3" t="str">
        <v>Не обнаружен</v>
      </c>
      <c r="O101" s="3" t="str">
        <v>Не обнаружен</v>
      </c>
      <c r="P101" s="3" t="str">
        <v>Не обнаружен</v>
      </c>
      <c r="Q101" s="3" t="str">
        <v>Не обнаружен</v>
      </c>
      <c r="R101" s="3" t="str">
        <v>Не обнаружен</v>
      </c>
      <c r="S101" s="3" t="str">
        <v>Gregory Swer</v>
      </c>
      <c r="T101" s="3" t="str">
        <v>Президент (President)</v>
      </c>
      <c r="U101" s="7" t="str">
        <v>https://ndabaonline.ukzn.ac.za/UkzndabaStory/volume-14-Issue-24/ukzn-philosophy-postgraduates-shine-at-national-symposium/</v>
      </c>
      <c r="V101" s="7" t="str">
        <v>https://www.fisp.org/members/national-societies</v>
      </c>
      <c r="W101" s="3" t="str">
        <v>FISP</v>
      </c>
      <c r="X101" s="3" t="str">
        <v>Действующий президент подтвержден университетским сообщением 2026 года. Общество обслуживает южноафриканский регион; национальный член FISP от ЮАР. Официальный журнал PSSA; связь подтверждена издателями Taylor &amp; Francis и NISC. На старом сайте общества сведения о руководстве устарели; использован университетский источник 2026.</v>
      </c>
      <c r="Y101" s="6" t="n">
        <v>46300</v>
      </c>
    </row>
    <row r="102" ht="48" customHeight="1">
      <c r="A102" s="8" t="n">
        <v>101</v>
      </c>
      <c r="B102" s="3" t="str">
        <v>Южная Корея</v>
      </c>
      <c r="C102" s="3" t="str">
        <v>Корейская философская ассоциация</v>
      </c>
      <c r="D102" s="3" t="str">
        <v>한국철학회</v>
      </c>
      <c r="E102" s="3" t="str">
        <v>Профессиональное общество</v>
      </c>
      <c r="F102" s="3" t="str">
        <v>Не удалось достоверно установить</v>
      </c>
      <c r="G102" s="7" t="str">
        <v>https://hanchul.org/</v>
      </c>
      <c r="H102" s="3" t="str">
        <v>철학</v>
      </c>
      <c r="I102" s="7" t="str">
        <v>https://philosophy.jams.or.kr/co/main/jmMain.kci</v>
      </c>
      <c r="J102" s="3" t="str">
        <v>Не обнаружен</v>
      </c>
      <c r="K102" s="3" t="str">
        <v>Не обнаружен</v>
      </c>
      <c r="L102" s="3" t="str">
        <v>Не обнаружен</v>
      </c>
      <c r="M102" s="3" t="str">
        <v>Не обнаружен</v>
      </c>
      <c r="N102" s="3" t="str">
        <v>Не обнаружен</v>
      </c>
      <c r="O102" s="3" t="str">
        <v>Не обнаружен</v>
      </c>
      <c r="P102" s="3" t="str">
        <v>Не обнаружен</v>
      </c>
      <c r="Q102" s="3" t="str">
        <v>Не обнаружен</v>
      </c>
      <c r="R102" s="3" t="str">
        <v>Не обнаружен</v>
      </c>
      <c r="S102" s="3" t="str">
        <v>양일모</v>
      </c>
      <c r="T102" s="3" t="str">
        <v>Президент (회장)</v>
      </c>
      <c r="U102" s="7" t="str">
        <v>https://hanchul.org/homepage/custom/greeting</v>
      </c>
      <c r="V102" s="7" t="str">
        <v>https://hanchul.org/</v>
      </c>
      <c r="W102" s="3" t="str">
        <v>FISP</v>
      </c>
      <c r="X102" s="3" t="str">
        <v>57-й президент. 김형찬 указан как следующий президент, а не действующий.</v>
      </c>
      <c r="Y102" s="6" t="n">
        <v>46300</v>
      </c>
    </row>
    <row r="103" ht="48" customHeight="1">
      <c r="A103" s="8" t="n">
        <v>102</v>
      </c>
      <c r="B103" s="3" t="str">
        <v>Япония</v>
      </c>
      <c r="C103" s="3" t="str">
        <v>Философская ассоциация Японии</v>
      </c>
      <c r="D103" s="3" t="str">
        <v>日本哲学会</v>
      </c>
      <c r="E103" s="3" t="str">
        <v>Профессиональное научное общество</v>
      </c>
      <c r="F103" s="3" t="str">
        <v>Не удалось достоверно установить</v>
      </c>
      <c r="G103" s="7" t="str">
        <v>https://philosophy-japan.org/</v>
      </c>
      <c r="H103" s="3" t="str">
        <v>哲学</v>
      </c>
      <c r="I103" s="7" t="str">
        <v>https://philosophy-japan.org/category/bulletin/</v>
      </c>
      <c r="J103" s="3" t="str">
        <v>Tetsugaku: International Journal of the Philosophical Association of Japan</v>
      </c>
      <c r="K103" s="7" t="str">
        <v>https://philosophy-japan.org/category/tetsugaku/</v>
      </c>
      <c r="L103" s="7" t="str">
        <v>https://www.facebook.com/philosophy.japan.org</v>
      </c>
      <c r="M103" s="3" t="str">
        <v>Не обнаружен</v>
      </c>
      <c r="N103" s="3" t="str">
        <v>Не обнаружен</v>
      </c>
      <c r="O103" s="3" t="str">
        <v>Не обнаружен</v>
      </c>
      <c r="P103" s="3" t="str">
        <v>Не обнаружен</v>
      </c>
      <c r="Q103" s="3" t="str">
        <v>Не обнаружен</v>
      </c>
      <c r="R103" s="3" t="str">
        <v>Не обнаружен</v>
      </c>
      <c r="S103" s="3" t="str">
        <v>納富信留</v>
      </c>
      <c r="T103" s="3" t="str">
        <v>Президент (会長)</v>
      </c>
      <c r="U103" s="7" t="str">
        <v>https://philosophy-japan.org/summary/yakuin_2025-2026/</v>
      </c>
      <c r="V103" s="7" t="str">
        <v>https://philosophy-japan.org/category/summary/</v>
      </c>
      <c r="W103" s="3" t="str">
        <v>Входит в JFPS (Японскую федерацию философских обществ)</v>
      </c>
      <c r="X103" s="3" t="str">
        <v>Правление 2025–2026. Широкопрофильное общество, отдельное от федерации JFPS; прямое индивидуальное членство PAJ в FISP не перенесено с федерации.</v>
      </c>
      <c r="Y103" s="6" t="n">
        <v>46300</v>
      </c>
    </row>
    <row r="104" ht="61" customHeight="1">
      <c r="A104" s="8" t="n">
        <v>103</v>
      </c>
      <c r="B104" s="3" t="str">
        <v>Япония</v>
      </c>
      <c r="C104" s="3" t="str">
        <v>Японская федерация философских обществ</v>
      </c>
      <c r="D104" s="3" t="str">
        <v>日本哲学系諸学会連合</v>
      </c>
      <c r="E104" s="3" t="str">
        <v>Федерация философских обществ</v>
      </c>
      <c r="F104" s="3" t="str">
        <v>Не удалось достоверно установить</v>
      </c>
      <c r="G104" s="3" t="str">
        <v>Не обнаружен</v>
      </c>
      <c r="H104" s="3" t="str">
        <v>Не обнаружен</v>
      </c>
      <c r="I104" s="3" t="str">
        <v>Не обнаружен</v>
      </c>
      <c r="J104" s="3" t="str">
        <v>Не обнаружен</v>
      </c>
      <c r="K104" s="3" t="str">
        <v>Не обнаружен</v>
      </c>
      <c r="L104" s="3" t="str">
        <v>Не обнаружен</v>
      </c>
      <c r="M104" s="3" t="str">
        <v>Не обнаружен</v>
      </c>
      <c r="N104" s="3" t="str">
        <v>Не обнаружен</v>
      </c>
      <c r="O104" s="3" t="str">
        <v>Не обнаружен</v>
      </c>
      <c r="P104" s="3" t="str">
        <v>Не обнаружен</v>
      </c>
      <c r="Q104" s="3" t="str">
        <v>Не обнаружен</v>
      </c>
      <c r="R104" s="3" t="str">
        <v>Не обнаружен</v>
      </c>
      <c r="S104" s="9" t="str">
        <v>Не удалось достоверно установить</v>
      </c>
      <c r="T104" s="9" t="str">
        <v>Не удалось достоверно установить</v>
      </c>
      <c r="U104" s="3" t="str">
        <v>Не обнаружен</v>
      </c>
      <c r="V104" s="7" t="str">
        <v>https://www.fisp.org/members/national-societies</v>
      </c>
      <c r="W104" s="3" t="str">
        <v>FISP</v>
      </c>
      <c r="X104" s="3" t="str">
        <v>Федерация философских научных обществ (JFPS), отдельная от 日本哲学会. 野家啓一 фигурирует в официальном заявлении 2020 года; без свежего подтверждения не указан действующим руководителем.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Y104" s="6" t="n">
        <v>46300</v>
      </c>
    </row>
  </sheetData>
  <hyperlinks>
    <hyperlink ref="G2" r:id="rIdURL1"/>
    <hyperlink ref="I2" r:id="rIdURL2"/>
    <hyperlink ref="K2" r:id="rIdURL3"/>
    <hyperlink ref="L2" r:id="rIdURL4"/>
    <hyperlink ref="N2" r:id="rIdURL5"/>
    <hyperlink ref="P2" r:id="rIdURL6"/>
    <hyperlink ref="R2" r:id="rIdURL7"/>
    <hyperlink ref="U2" r:id="rIdURL8"/>
    <hyperlink ref="V2" r:id="rIdURL9"/>
    <hyperlink ref="G3" r:id="rIdURL10"/>
    <hyperlink ref="U3" r:id="rIdURL11"/>
    <hyperlink ref="V3" r:id="rIdURL12"/>
    <hyperlink ref="G4" r:id="rIdURL13"/>
    <hyperlink ref="L4" r:id="rIdURL14"/>
    <hyperlink ref="U4" r:id="rIdURL15"/>
    <hyperlink ref="V4" r:id="rIdURL16"/>
    <hyperlink ref="G5" r:id="rIdURL17"/>
    <hyperlink ref="V5" r:id="rIdURL18"/>
    <hyperlink ref="G6" r:id="rIdURL19"/>
    <hyperlink ref="V6" r:id="rIdURL20"/>
    <hyperlink ref="V7" r:id="rIdURL21"/>
    <hyperlink ref="G8" r:id="rIdURL22"/>
    <hyperlink ref="V8" r:id="rIdURL23"/>
    <hyperlink ref="G9" r:id="rIdURL24"/>
    <hyperlink ref="V9" r:id="rIdURL25"/>
    <hyperlink ref="I10" r:id="rIdURL26"/>
    <hyperlink ref="V10" r:id="rIdURL27"/>
    <hyperlink ref="G11" r:id="rIdURL28"/>
    <hyperlink ref="V11" r:id="rIdURL29"/>
    <hyperlink ref="G12" r:id="rIdURL30"/>
    <hyperlink ref="I12" r:id="rIdURL31"/>
    <hyperlink ref="V12" r:id="rIdURL32"/>
    <hyperlink ref="G13" r:id="rIdURL33"/>
    <hyperlink ref="U13" r:id="rIdURL34"/>
    <hyperlink ref="V13" r:id="rIdURL35"/>
    <hyperlink ref="G14" r:id="rIdURL36"/>
    <hyperlink ref="U14" r:id="rIdURL37"/>
    <hyperlink ref="V14" r:id="rIdURL38"/>
    <hyperlink ref="G15" r:id="rIdURL39"/>
    <hyperlink ref="I15" r:id="rIdURL40"/>
    <hyperlink ref="K15" r:id="rIdURL41"/>
    <hyperlink ref="L15" r:id="rIdURL42"/>
    <hyperlink ref="N15" r:id="rIdURL43"/>
    <hyperlink ref="R15" r:id="rIdURL44"/>
    <hyperlink ref="U15" r:id="rIdURL45"/>
    <hyperlink ref="V15" r:id="rIdURL46"/>
    <hyperlink ref="G16" r:id="rIdURL47"/>
    <hyperlink ref="N16" r:id="rIdURL48"/>
    <hyperlink ref="U16" r:id="rIdURL49"/>
    <hyperlink ref="V16" r:id="rIdURL50"/>
    <hyperlink ref="G17" r:id="rIdURL51"/>
    <hyperlink ref="L17" r:id="rIdURL52"/>
    <hyperlink ref="U17" r:id="rIdURL53"/>
    <hyperlink ref="V17" r:id="rIdURL54"/>
    <hyperlink ref="V18" r:id="rIdURL55"/>
    <hyperlink ref="G19" r:id="rIdURL56"/>
    <hyperlink ref="U19" r:id="rIdURL57"/>
    <hyperlink ref="V19" r:id="rIdURL58"/>
    <hyperlink ref="G20" r:id="rIdURL59"/>
    <hyperlink ref="I20" r:id="rIdURL60"/>
    <hyperlink ref="V20" r:id="rIdURL61"/>
    <hyperlink ref="G21" r:id="rIdURL62"/>
    <hyperlink ref="L21" r:id="rIdURL63"/>
    <hyperlink ref="N21" r:id="rIdURL64"/>
    <hyperlink ref="U21" r:id="rIdURL65"/>
    <hyperlink ref="V21" r:id="rIdURL66"/>
    <hyperlink ref="G22" r:id="rIdURL67"/>
    <hyperlink ref="I22" r:id="rIdURL68"/>
    <hyperlink ref="U22" r:id="rIdURL69"/>
    <hyperlink ref="V22" r:id="rIdURL70"/>
    <hyperlink ref="G23" r:id="rIdURL71"/>
    <hyperlink ref="I23" r:id="rIdURL72"/>
    <hyperlink ref="K23" r:id="rIdURL73"/>
    <hyperlink ref="U23" r:id="rIdURL74"/>
    <hyperlink ref="V23" r:id="rIdURL75"/>
    <hyperlink ref="I24" r:id="rIdURL76"/>
    <hyperlink ref="V24" r:id="rIdURL77"/>
    <hyperlink ref="V25" r:id="rIdURL78"/>
    <hyperlink ref="I26" r:id="rIdURL79"/>
    <hyperlink ref="U26" r:id="rIdURL80"/>
    <hyperlink ref="V26" r:id="rIdURL81"/>
    <hyperlink ref="V27" r:id="rIdURL82"/>
    <hyperlink ref="V28" r:id="rIdURL83"/>
    <hyperlink ref="G29" r:id="rIdURL84"/>
    <hyperlink ref="V29" r:id="rIdURL85"/>
    <hyperlink ref="G30" r:id="rIdURL86"/>
    <hyperlink ref="U30" r:id="rIdURL87"/>
    <hyperlink ref="V30" r:id="rIdURL88"/>
    <hyperlink ref="U31" r:id="rIdURL89"/>
    <hyperlink ref="V31" r:id="rIdURL90"/>
    <hyperlink ref="G32" r:id="rIdURL91"/>
    <hyperlink ref="I32" r:id="rIdURL92"/>
    <hyperlink ref="Q32" r:id="rIdURL93"/>
    <hyperlink ref="U32" r:id="rIdURL94"/>
    <hyperlink ref="V32" r:id="rIdURL95"/>
    <hyperlink ref="G33" r:id="rIdURL96"/>
    <hyperlink ref="I33" r:id="rIdURL97"/>
    <hyperlink ref="L33" r:id="rIdURL98"/>
    <hyperlink ref="N33" r:id="rIdURL99"/>
    <hyperlink ref="O33" r:id="rIdURL100"/>
    <hyperlink ref="U33" r:id="rIdURL101"/>
    <hyperlink ref="V33" r:id="rIdURL102"/>
    <hyperlink ref="G34" r:id="rIdURL103"/>
    <hyperlink ref="I34" r:id="rIdURL104"/>
    <hyperlink ref="L34" r:id="rIdURL105"/>
    <hyperlink ref="U34" r:id="rIdURL106"/>
    <hyperlink ref="V34" r:id="rIdURL107"/>
    <hyperlink ref="G35" r:id="rIdURL108"/>
    <hyperlink ref="L35" r:id="rIdURL109"/>
    <hyperlink ref="N35" r:id="rIdURL110"/>
    <hyperlink ref="U35" r:id="rIdURL111"/>
    <hyperlink ref="V35" r:id="rIdURL112"/>
    <hyperlink ref="G36" r:id="rIdURL113"/>
    <hyperlink ref="V36" r:id="rIdURL114"/>
    <hyperlink ref="G37" r:id="rIdURL115"/>
    <hyperlink ref="I37" r:id="rIdURL116"/>
    <hyperlink ref="K37" r:id="rIdURL117"/>
    <hyperlink ref="U37" r:id="rIdURL118"/>
    <hyperlink ref="V37" r:id="rIdURL119"/>
    <hyperlink ref="G38" r:id="rIdURL120"/>
    <hyperlink ref="V38" r:id="rIdURL121"/>
    <hyperlink ref="U39" r:id="rIdURL122"/>
    <hyperlink ref="V39" r:id="rIdURL123"/>
    <hyperlink ref="V40" r:id="rIdURL124"/>
    <hyperlink ref="G41" r:id="rIdURL125"/>
    <hyperlink ref="I41" r:id="rIdURL126"/>
    <hyperlink ref="L41" r:id="rIdURL127"/>
    <hyperlink ref="O41" r:id="rIdURL128"/>
    <hyperlink ref="P41" r:id="rIdURL129"/>
    <hyperlink ref="U41" r:id="rIdURL130"/>
    <hyperlink ref="V41" r:id="rIdURL131"/>
    <hyperlink ref="I42" r:id="rIdURL132"/>
    <hyperlink ref="V42" r:id="rIdURL133"/>
    <hyperlink ref="G43" r:id="rIdURL134"/>
    <hyperlink ref="L43" r:id="rIdURL135"/>
    <hyperlink ref="N43" r:id="rIdURL136"/>
    <hyperlink ref="P43" r:id="rIdURL137"/>
    <hyperlink ref="U43" r:id="rIdURL138"/>
    <hyperlink ref="V43" r:id="rIdURL139"/>
    <hyperlink ref="V44" r:id="rIdURL140"/>
    <hyperlink ref="V45" r:id="rIdURL141"/>
    <hyperlink ref="G46" r:id="rIdURL142"/>
    <hyperlink ref="I46" r:id="rIdURL143"/>
    <hyperlink ref="U46" r:id="rIdURL144"/>
    <hyperlink ref="V46" r:id="rIdURL145"/>
    <hyperlink ref="V47" r:id="rIdURL146"/>
    <hyperlink ref="G48" r:id="rIdURL147"/>
    <hyperlink ref="I48" r:id="rIdURL148"/>
    <hyperlink ref="V48" r:id="rIdURL149"/>
    <hyperlink ref="V49" r:id="rIdURL150"/>
    <hyperlink ref="V50" r:id="rIdURL151"/>
    <hyperlink ref="V51" r:id="rIdURL152"/>
    <hyperlink ref="V52" r:id="rIdURL153"/>
    <hyperlink ref="G53" r:id="rIdURL154"/>
    <hyperlink ref="U53" r:id="rIdURL155"/>
    <hyperlink ref="V53" r:id="rIdURL156"/>
    <hyperlink ref="G54" r:id="rIdURL157"/>
    <hyperlink ref="I54" r:id="rIdURL158"/>
    <hyperlink ref="L54" r:id="rIdURL159"/>
    <hyperlink ref="M54" r:id="rIdURL160"/>
    <hyperlink ref="U54" r:id="rIdURL161"/>
    <hyperlink ref="V54" r:id="rIdURL162"/>
    <hyperlink ref="V55" r:id="rIdURL163"/>
    <hyperlink ref="G56" r:id="rIdURL164"/>
    <hyperlink ref="V56" r:id="rIdURL165"/>
    <hyperlink ref="G57" r:id="rIdURL166"/>
    <hyperlink ref="L57" r:id="rIdURL167"/>
    <hyperlink ref="M57" r:id="rIdURL168"/>
    <hyperlink ref="N57" r:id="rIdURL169"/>
    <hyperlink ref="P57" r:id="rIdURL170"/>
    <hyperlink ref="U57" r:id="rIdURL171"/>
    <hyperlink ref="V57" r:id="rIdURL172"/>
    <hyperlink ref="G58" r:id="rIdURL173"/>
    <hyperlink ref="V58" r:id="rIdURL174"/>
    <hyperlink ref="G59" r:id="rIdURL175"/>
    <hyperlink ref="V59" r:id="rIdURL176"/>
    <hyperlink ref="V60" r:id="rIdURL177"/>
    <hyperlink ref="G61" r:id="rIdURL178"/>
    <hyperlink ref="V61" r:id="rIdURL179"/>
    <hyperlink ref="G62" r:id="rIdURL180"/>
    <hyperlink ref="U62" r:id="rIdURL181"/>
    <hyperlink ref="V62" r:id="rIdURL182"/>
    <hyperlink ref="G63" r:id="rIdURL183"/>
    <hyperlink ref="U63" r:id="rIdURL184"/>
    <hyperlink ref="V63" r:id="rIdURL185"/>
    <hyperlink ref="G64" r:id="rIdURL186"/>
    <hyperlink ref="L64" r:id="rIdURL187"/>
    <hyperlink ref="M64" r:id="rIdURL188"/>
    <hyperlink ref="N64" r:id="rIdURL189"/>
    <hyperlink ref="P64" r:id="rIdURL190"/>
    <hyperlink ref="V64" r:id="rIdURL191"/>
    <hyperlink ref="V65" r:id="rIdURL192"/>
    <hyperlink ref="G66" r:id="rIdURL193"/>
    <hyperlink ref="U66" r:id="rIdURL194"/>
    <hyperlink ref="V66" r:id="rIdURL195"/>
    <hyperlink ref="G67" r:id="rIdURL196"/>
    <hyperlink ref="I67" r:id="rIdURL197"/>
    <hyperlink ref="U67" r:id="rIdURL198"/>
    <hyperlink ref="V67" r:id="rIdURL199"/>
    <hyperlink ref="G68" r:id="rIdURL200"/>
    <hyperlink ref="L68" r:id="rIdURL201"/>
    <hyperlink ref="U68" r:id="rIdURL202"/>
    <hyperlink ref="V68" r:id="rIdURL203"/>
    <hyperlink ref="G69" r:id="rIdURL204"/>
    <hyperlink ref="I69" r:id="rIdURL205"/>
    <hyperlink ref="U69" r:id="rIdURL206"/>
    <hyperlink ref="V69" r:id="rIdURL207"/>
    <hyperlink ref="V70" r:id="rIdURL208"/>
    <hyperlink ref="I71" r:id="rIdURL209"/>
    <hyperlink ref="V71" r:id="rIdURL210"/>
    <hyperlink ref="G72" r:id="rIdURL211"/>
    <hyperlink ref="L72" r:id="rIdURL212"/>
    <hyperlink ref="M72" r:id="rIdURL213"/>
    <hyperlink ref="N72" r:id="rIdURL214"/>
    <hyperlink ref="P72" r:id="rIdURL215"/>
    <hyperlink ref="U72" r:id="rIdURL216"/>
    <hyperlink ref="V72" r:id="rIdURL217"/>
    <hyperlink ref="G73" r:id="rIdURL218"/>
    <hyperlink ref="I73" r:id="rIdURL219"/>
    <hyperlink ref="L73" r:id="rIdURL220"/>
    <hyperlink ref="P73" r:id="rIdURL221"/>
    <hyperlink ref="V73" r:id="rIdURL222"/>
    <hyperlink ref="V74" r:id="rIdURL223"/>
    <hyperlink ref="I75" r:id="rIdURL224"/>
    <hyperlink ref="V75" r:id="rIdURL225"/>
    <hyperlink ref="I76" r:id="rIdURL226"/>
    <hyperlink ref="U76" r:id="rIdURL227"/>
    <hyperlink ref="V76" r:id="rIdURL228"/>
    <hyperlink ref="G77" r:id="rIdURL229"/>
    <hyperlink ref="V77" r:id="rIdURL230"/>
    <hyperlink ref="G78" r:id="rIdURL231"/>
    <hyperlink ref="I78" r:id="rIdURL232"/>
    <hyperlink ref="L78" r:id="rIdURL233"/>
    <hyperlink ref="M78" r:id="rIdURL234"/>
    <hyperlink ref="N78" r:id="rIdURL235"/>
    <hyperlink ref="U78" r:id="rIdURL236"/>
    <hyperlink ref="V78" r:id="rIdURL237"/>
    <hyperlink ref="G79" r:id="rIdURL238"/>
    <hyperlink ref="I79" r:id="rIdURL239"/>
    <hyperlink ref="K79" r:id="rIdURL240"/>
    <hyperlink ref="U79" r:id="rIdURL241"/>
    <hyperlink ref="V79" r:id="rIdURL242"/>
    <hyperlink ref="G80" r:id="rIdURL243"/>
    <hyperlink ref="I80" r:id="rIdURL244"/>
    <hyperlink ref="V80" r:id="rIdURL245"/>
    <hyperlink ref="V81" r:id="rIdURL246"/>
    <hyperlink ref="G82" r:id="rIdURL247"/>
    <hyperlink ref="L82" r:id="rIdURL248"/>
    <hyperlink ref="U82" r:id="rIdURL249"/>
    <hyperlink ref="V82" r:id="rIdURL250"/>
    <hyperlink ref="V83" r:id="rIdURL251"/>
    <hyperlink ref="G84" r:id="rIdURL252"/>
    <hyperlink ref="V84" r:id="rIdURL253"/>
    <hyperlink ref="G85" r:id="rIdURL254"/>
    <hyperlink ref="M85" r:id="rIdURL255"/>
    <hyperlink ref="N85" r:id="rIdURL256"/>
    <hyperlink ref="U85" r:id="rIdURL257"/>
    <hyperlink ref="V85" r:id="rIdURL258"/>
    <hyperlink ref="V86" r:id="rIdURL259"/>
    <hyperlink ref="V87" r:id="rIdURL260"/>
    <hyperlink ref="G88" r:id="rIdURL261"/>
    <hyperlink ref="I88" r:id="rIdURL262"/>
    <hyperlink ref="U88" r:id="rIdURL263"/>
    <hyperlink ref="V88" r:id="rIdURL264"/>
    <hyperlink ref="V89" r:id="rIdURL265"/>
    <hyperlink ref="V90" r:id="rIdURL266"/>
    <hyperlink ref="G91" r:id="rIdURL267"/>
    <hyperlink ref="I91" r:id="rIdURL268"/>
    <hyperlink ref="L91" r:id="rIdURL269"/>
    <hyperlink ref="U91" r:id="rIdURL270"/>
    <hyperlink ref="V91" r:id="rIdURL271"/>
    <hyperlink ref="G92" r:id="rIdURL272"/>
    <hyperlink ref="I92" r:id="rIdURL273"/>
    <hyperlink ref="K92" r:id="rIdURL274"/>
    <hyperlink ref="L92" r:id="rIdURL275"/>
    <hyperlink ref="U92" r:id="rIdURL276"/>
    <hyperlink ref="V92" r:id="rIdURL277"/>
    <hyperlink ref="G93" r:id="rIdURL278"/>
    <hyperlink ref="I93" r:id="rIdURL279"/>
    <hyperlink ref="K93" r:id="rIdURL280"/>
    <hyperlink ref="U93" r:id="rIdURL281"/>
    <hyperlink ref="V93" r:id="rIdURL282"/>
    <hyperlink ref="G94" r:id="rIdURL283"/>
    <hyperlink ref="I94" r:id="rIdURL284"/>
    <hyperlink ref="K94" r:id="rIdURL285"/>
    <hyperlink ref="U94" r:id="rIdURL286"/>
    <hyperlink ref="V94" r:id="rIdURL287"/>
    <hyperlink ref="V95" r:id="rIdURL288"/>
    <hyperlink ref="G96" r:id="rIdURL289"/>
    <hyperlink ref="V96" r:id="rIdURL290"/>
    <hyperlink ref="G97" r:id="rIdURL291"/>
    <hyperlink ref="U97" r:id="rIdURL292"/>
    <hyperlink ref="V97" r:id="rIdURL293"/>
    <hyperlink ref="G98" r:id="rIdURL294"/>
    <hyperlink ref="I98" r:id="rIdURL295"/>
    <hyperlink ref="U98" r:id="rIdURL296"/>
    <hyperlink ref="V98" r:id="rIdURL297"/>
    <hyperlink ref="V99" r:id="rIdURL298"/>
    <hyperlink ref="G100" r:id="rIdURL299"/>
    <hyperlink ref="L100" r:id="rIdURL300"/>
    <hyperlink ref="M100" r:id="rIdURL301"/>
    <hyperlink ref="P100" r:id="rIdURL302"/>
    <hyperlink ref="V100" r:id="rIdURL303"/>
    <hyperlink ref="G101" r:id="rIdURL304"/>
    <hyperlink ref="I101" r:id="rIdURL305"/>
    <hyperlink ref="U101" r:id="rIdURL306"/>
    <hyperlink ref="V101" r:id="rIdURL307"/>
    <hyperlink ref="G102" r:id="rIdURL308"/>
    <hyperlink ref="I102" r:id="rIdURL309"/>
    <hyperlink ref="U102" r:id="rIdURL310"/>
    <hyperlink ref="V102" r:id="rIdURL311"/>
    <hyperlink ref="G103" r:id="rIdURL312"/>
    <hyperlink ref="I103" r:id="rIdURL313"/>
    <hyperlink ref="K103" r:id="rIdURL314"/>
    <hyperlink ref="L103" r:id="rIdURL315"/>
    <hyperlink ref="U103" r:id="rIdURL316"/>
    <hyperlink ref="V103" r:id="rIdURL317"/>
    <hyperlink ref="V104" r:id="rIdURL318"/>
  </hyperlinks>
  <pageMargins left="0.7" right="0.7" top="0.75" bottom="0.75" header="0.3" footer="0.3"/>
  <tableParts count="1">
    <tablePart r:id="Rb0a117a75f3b416b"/>
  </tableParts>
</worksheet>
</file>

<file path=xl/worksheets/sheet2.xml><?xml version="1.0" encoding="utf-8"?>
<x:worksheet xmlns:x="http://schemas.openxmlformats.org/spreadsheetml/2006/main">
  <x:sheetPr>
    <x:tabColor rgb="FF234E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6" hidden="0" customWidth="1"/>
    <x:col min="2" max="2" width="24" hidden="0" customWidth="1"/>
    <x:col min="3" max="3" width="98" hidden="0" customWidth="1"/>
  </x:cols>
  <x:sheetData>
    <x:row r="1" ht="28" customHeight="1">
      <x:c r="A1" s="22" t="str">
        <x:v>Показатель</x:v>
      </x:c>
      <x:c r="B1" s="22" t="str">
        <x:v>Количество</x:v>
      </x:c>
      <x:c r="C1" s="22" t="str">
        <x:v>Пояснение</x:v>
      </x:c>
    </x:row>
    <x:row r="2" ht="58" customHeight="1">
      <x:c r="A2" s="18" t="str">
        <x:v>Исследовано суверенных государств</x:v>
      </x:c>
      <x:c r="B2" s="23" t="n">
        <x:f>COUNTIF('Охват стран'!$I$2:$I$198,"Основной охват")</x:f>
        <x:v>195</x:v>
      </x:c>
      <x:c r="C2" s="18" t="str">
        <x:v>193 государства — члены ООН и два государства-наблюдателя. Дополнительные юрисдикции считаются отдельно.</x:v>
      </x:c>
    </x:row>
    <x:row r="3" ht="58" customHeight="1">
      <x:c r="A3" s="18" t="str">
        <x:v>Дополнительные юрисдикции</x:v>
      </x:c>
      <x:c r="B3" s="23" t="n">
        <x:f>COUNTIF('Охват стран'!$I$2:$I$198,"Дополнительный охват")</x:f>
        <x:v>2</x:v>
      </x:c>
      <x:c r="C3" s="18" t="str">
        <x:v>Косово и Тайвань. Их включение не меняет счет основного охвата.</x:v>
      </x:c>
    </x:row>
    <x:row r="4" ht="58" customHeight="1">
      <x:c r="A4" s="18" t="str">
        <x:v>Всего стран и юрисдикций в охвате</x:v>
      </x:c>
      <x:c r="B4" s="23" t="n">
        <x:f>COUNTA('Охват стран'!$A$2:$A$198)</x:f>
        <x:v>197</x:v>
      </x:c>
      <x:c r="C4" s="18" t="str">
        <x:v>Основной и дополнительный охват.</x:v>
      </x:c>
    </x:row>
    <x:row r="5" ht="58" customHeight="1">
      <x:c r="A5" s="18" t="str">
        <x:v>Государств с обнаруженным национальным объединением</x:v>
      </x:c>
      <x:c r="B5" s="23" t="n">
        <x:f>COUNTIFS('Охват стран'!$I$2:$I$198,"Основной охват",'Охват стран'!$C$2:$C$198,"Объединение обнаружено")</x:f>
        <x:v>90</x:v>
      </x:c>
      <x:c r="C5" s="18" t="str">
        <x:v>Только основной охват 195 государств. Региональная AAP представляет три государства.</x:v>
      </x:c>
    </x:row>
    <x:row r="6" ht="58" customHeight="1">
      <x:c r="A6" s="18" t="str">
        <x:v>Стран и юрисдикций с обнаруженным объединением</x:v>
      </x:c>
      <x:c r="B6" s="23" t="n">
        <x:f>COUNTIF('Охват стран'!$C$2:$C$198,"Объединение обнаружено")</x:f>
        <x:v>92</x:v>
      </x:c>
      <x:c r="C6" s="18" t="str">
        <x:v>Основной охват плюс Косово и Тайвань.</x:v>
      </x:c>
    </x:row>
    <x:row r="7" ht="58" customHeight="1">
      <x:c r="A7" s="18" t="str">
        <x:v>Обнаружено организаций</x:v>
      </x:c>
      <x:c r="B7" s="23" t="n">
        <x:f>COUNTA('Философские сообщества'!$A$2:$A$104)</x:f>
        <x:v>103</x:v>
      </x:c>
      <x:c r="C7" s="18" t="str">
        <x:v>Одна организация — одна строка; несколько национальных организаций в стране включены отдельно.</x:v>
      </x:c>
    </x:row>
    <x:row r="8" ht="58" customHeight="1">
      <x:c r="A8" s="18" t="str">
        <x:v>Организаций с подтвержденным первым руководителем</x:v>
      </x:c>
      <x:c r="B8" s="23" t="n">
        <x:f>COUNTIF('Философские сообщества'!$S$2:$S$104,"&lt;&gt;Не удалось достоверно установить")</x:f>
        <x:v>43</x:v>
      </x:c>
      <x:c r="C8" s="18" t="str">
        <x:v>Текущая официальная страница или свежий первичный источник; дата окончания полномочий опубликована не во всех случаях.</x:v>
      </x:c>
    </x:row>
    <x:row r="9" ht="58" customHeight="1">
      <x:c r="A9" s="18" t="str">
        <x:v>Организаций с официально связанным журналом</x:v>
      </x:c>
      <x:c r="B9" s="23" t="n">
        <x:f>COUNTIF('Философские сообщества'!$H$2:$H$104,"&lt;&gt;Не обнаружен")</x:f>
        <x:v>37</x:v>
      </x:c>
      <x:c r="C9" s="18" t="str">
        <x:v>Собственные и институционально связанные издания; совместный журнал учитывается у каждой подтвержденной национальной ассоциации.</x:v>
      </x:c>
    </x:row>
    <x:row r="10" ht="58" customHeight="1">
      <x:c r="A10" s="18" t="str">
        <x:v>Организаций с найденным официальным сайтом</x:v>
      </x:c>
      <x:c r="B10" s="23" t="n">
        <x:f>COUNTIF('Философские сообщества'!$G$2:$G$104,"&lt;&gt;Не обнаружен")</x:f>
        <x:v>67</x:v>
      </x:c>
      <x:c r="C10" s="18" t="str">
        <x:v>Наличие URL; доступность каждого сайта указана в реестре источников. Не все сайты открылись при автоматической проверке.</x:v>
      </x:c>
    </x:row>
    <x:row r="11" ht="58" customHeight="1">
      <x:c r="A11" s="18" t="str">
        <x:v>Организаций хотя бы с одной официальной социальной сетью</x:v>
      </x:c>
      <x:c r="B11" s="23" t="n">
        <x:f>COUNTA('Философские сообщества'!$A$2:$A$104)-COUNTIFS('Философские сообщества'!$L$2:$L$104,"Не обнаружен",'Философские сообщества'!$M$2:$M$104,"Не обнаружен",'Философские сообщества'!$N$2:$N$104,"Не обнаружен",'Философские сообщества'!$O$2:$O$104,"Не обнаружен",'Философские сообщества'!$P$2:$P$104,"Не обнаружен",'Философские сообщества'!$Q$2:$Q$104,"Не обнаружен",'Философские сообщества'!$R$2:$R$104,"Не обнаружен")</x:f>
        <x:v>25</x:v>
      </x:c>
      <x:c r="C11" s="18" t="str">
        <x:v>Только аккаунты самой организации, подтвержденные ее сайтом или первичным институциональным источником.</x:v>
      </x:c>
    </x:row>
    <x:row r="12" ht="58" customHeight="1">
      <x:c r="A12" s="18" t="str">
        <x:v>Подтвержденных прямых национальных членов FISP</x:v>
      </x:c>
      <x:c r="B12" s="23" t="n">
        <x:f>COUNTIF('Философские сообщества'!$W$2:$W$104,"FISP")+COUNTIF('Философские сообщества'!$W$2:$W$104,"FISP; ACAFI")</x:f>
        <x:v>69</x:v>
      </x:c>
      <x:c r="C12" s="18" t="str">
        <x:v>Членство федерации не переносится автоматически на входящие общества. Не означает прямое членство в CIPSH.</x:v>
      </x:c>
    </x:row>
    <x:row r="13" ht="58" customHeight="1">
      <x:c r="A13" s="18" t="str">
        <x:v>Государств без достоверно определенной организации</x:v>
      </x:c>
      <x:c r="B13" s="23" t="n">
        <x:f>COUNTIFS('Охват стран'!$I$2:$I$198,"Основной охват",'Охват стран'!$C$2:$C$198,"Не удалось достоверно определить")</x:f>
        <x:v>105</x:v>
      </x:c>
      <x:c r="C13" s="18" t="str">
        <x:v>Результат поиска; не утверждение об отсутствии национального объединения.</x:v>
      </x:c>
    </x:row>
    <x:row r="14" ht="58" customHeight="1">
      <x:c r="A14" s="18" t="str">
        <x:v>Организаций без подтвержденного первого руководителя</x:v>
      </x:c>
      <x:c r="B14" s="23" t="n">
        <x:f>COUNTIF('Философские сообщества'!$S$2:$S$104,"Не удалось достоверно установить")</x:f>
        <x:v>60</x:v>
      </x:c>
      <x:c r="C14" s="18" t="str">
        <x:v>Имена из старых правлений, главы институтов и представители на международных встречах не заменяют действующее первое руководство.</x:v>
      </x:c>
    </x:row>
    <x:row r="15" ht="58" customHeight="1">
      <x:c r="A15" s="18" t="str">
        <x:v>Дата исследования</x:v>
      </x:c>
      <x:c r="B15" s="20" t="n">
        <x:v>46300</x:v>
      </x:c>
      <x:c r="C15" s="18" t="str">
        <x:v>Проверка выполнена 05.10.2026. Дата проверки отличается от даты публикации источника.</x:v>
      </x:c>
    </x:row>
    <x:row r="16" ht="58" customHeight="1">
      <x:c r="A16" s="18" t="str"/>
      <x:c r="B16" s="18" t="str"/>
      <x:c r="C16" s="18" t="str"/>
    </x:row>
    <x:row r="17">
      <x:c r="A17" s="18"/>
      <x:c r="B17" s="18"/>
      <x:c r="C17" s="18"/>
    </x:row>
    <x:row r="18" ht="45" customHeight="1">
      <x:c r="A18" s="22" t="str">
        <x:v>Регион</x:v>
      </x:c>
      <x:c r="B18" s="22" t="str">
        <x:v>Исследовано государств</x:v>
      </x:c>
      <x:c r="C18" s="22" t="str">
        <x:v>Найдено организаций</x:v>
      </x:c>
    </x:row>
    <x:row r="19" ht="29" customHeight="1">
      <x:c r="A19" s="18" t="str">
        <x:v>Центральная Азия</x:v>
      </x:c>
      <x:c r="B19" s="18" t="n">
        <x:f>COUNTIFS('Охват стран'!$B$2:$B$198,A19,'Охват стран'!$I$2:$I$198,"Основной охват")</x:f>
        <x:v>5</x:v>
      </x:c>
      <x:c r="C19" s="18" t="n">
        <x:f>SUMIF('Охват стран'!$B$2:$B$198,A19,'Охват стран'!$J$2:$J$198)</x:f>
        <x:v>2</x:v>
      </x:c>
    </x:row>
    <x:row r="20" ht="29" customHeight="1">
      <x:c r="A20" s="18" t="str">
        <x:v>Восточная Азия</x:v>
      </x:c>
      <x:c r="B20" s="18" t="n">
        <x:f>COUNTIFS('Охват стран'!$B$2:$B$198,A20,'Охват стран'!$I$2:$I$198,"Основной охват")</x:f>
        <x:v>5</x:v>
      </x:c>
      <x:c r="C20" s="18" t="n">
        <x:f>SUMIF('Охват стран'!$B$2:$B$198,A20,'Охват стран'!$J$2:$J$198)</x:f>
        <x:v>6</x:v>
      </x:c>
    </x:row>
    <x:row r="21" ht="29" customHeight="1">
      <x:c r="A21" s="18" t="str">
        <x:v>Южная Азия</x:v>
      </x:c>
      <x:c r="B21" s="18" t="n">
        <x:f>COUNTIFS('Охват стран'!$B$2:$B$198,A21,'Охват стран'!$I$2:$I$198,"Основной охват")</x:f>
        <x:v>8</x:v>
      </x:c>
      <x:c r="C21" s="18" t="n">
        <x:f>SUMIF('Охват стран'!$B$2:$B$198,A21,'Охват стран'!$J$2:$J$198)</x:f>
        <x:v>4</x:v>
      </x:c>
    </x:row>
    <x:row r="22" ht="29" customHeight="1">
      <x:c r="A22" s="18" t="str">
        <x:v>Юго-Восточная Азия</x:v>
      </x:c>
      <x:c r="B22" s="18" t="n">
        <x:f>COUNTIFS('Охват стран'!$B$2:$B$198,A22,'Охват стран'!$I$2:$I$198,"Основной охват")</x:f>
        <x:v>11</x:v>
      </x:c>
      <x:c r="C22" s="18" t="n">
        <x:f>SUMIF('Охват стран'!$B$2:$B$198,A22,'Охват стран'!$J$2:$J$198)</x:f>
        <x:v>6</x:v>
      </x:c>
    </x:row>
    <x:row r="23" ht="29" customHeight="1">
      <x:c r="A23" s="18" t="str">
        <x:v>Ближний Восток</x:v>
      </x:c>
      <x:c r="B23" s="18" t="n">
        <x:f>COUNTIFS('Охват стран'!$B$2:$B$198,A23,'Охват стран'!$I$2:$I$198,"Основной охват")</x:f>
        <x:v>16</x:v>
      </x:c>
      <x:c r="C23" s="18" t="n">
        <x:f>SUMIF('Охват стран'!$B$2:$B$198,A23,'Охват стран'!$J$2:$J$198)</x:f>
        <x:v>7</x:v>
      </x:c>
    </x:row>
    <x:row r="24" ht="29" customHeight="1">
      <x:c r="A24" s="18" t="str">
        <x:v>Кавказ</x:v>
      </x:c>
      <x:c r="B24" s="18" t="n">
        <x:f>COUNTIFS('Охват стран'!$B$2:$B$198,A24,'Охват стран'!$I$2:$I$198,"Основной охват")</x:f>
        <x:v>3</x:v>
      </x:c>
      <x:c r="C24" s="18" t="n">
        <x:f>SUMIF('Охват стран'!$B$2:$B$198,A24,'Охват стран'!$J$2:$J$198)</x:f>
        <x:v>1</x:v>
      </x:c>
    </x:row>
    <x:row r="25" ht="29" customHeight="1">
      <x:c r="A25" s="18" t="str">
        <x:v>Восточная Европа</x:v>
      </x:c>
      <x:c r="B25" s="18" t="n">
        <x:f>COUNTIFS('Охват стран'!$B$2:$B$198,A25,'Охват стран'!$I$2:$I$198,"Основной охват")</x:f>
        <x:v>10</x:v>
      </x:c>
      <x:c r="C25" s="18" t="n">
        <x:f>SUMIF('Охват стран'!$B$2:$B$198,A25,'Охват стран'!$J$2:$J$198)</x:f>
        <x:v>9</x:v>
      </x:c>
    </x:row>
    <x:row r="26" ht="29" customHeight="1">
      <x:c r="A26" s="18" t="str">
        <x:v>Западная Европа</x:v>
      </x:c>
      <x:c r="B26" s="18" t="n">
        <x:f>COUNTIFS('Охват стран'!$B$2:$B$198,A26,'Охват стран'!$I$2:$I$198,"Основной охват")</x:f>
        <x:v>9</x:v>
      </x:c>
      <x:c r="C26" s="18" t="n">
        <x:f>SUMIF('Охват стран'!$B$2:$B$198,A26,'Охват стран'!$J$2:$J$198)</x:f>
        <x:v>7</x:v>
      </x:c>
    </x:row>
    <x:row r="27" ht="29" customHeight="1">
      <x:c r="A27" s="18" t="str">
        <x:v>Северная Европа</x:v>
      </x:c>
      <x:c r="B27" s="18" t="n">
        <x:f>COUNTIFS('Охват стран'!$B$2:$B$198,A27,'Охват стран'!$I$2:$I$198,"Основной охват")</x:f>
        <x:v>10</x:v>
      </x:c>
      <x:c r="C27" s="18" t="n">
        <x:f>SUMIF('Охват стран'!$B$2:$B$198,A27,'Охват стран'!$J$2:$J$198)</x:f>
        <x:v>8</x:v>
      </x:c>
    </x:row>
    <x:row r="28" ht="29" customHeight="1">
      <x:c r="A28" s="18" t="str">
        <x:v>Южная Европа</x:v>
      </x:c>
      <x:c r="B28" s="18" t="n">
        <x:f>COUNTIFS('Охват стран'!$B$2:$B$198,A28,'Охват стран'!$I$2:$I$198,"Основной охват")</x:f>
        <x:v>15</x:v>
      </x:c>
      <x:c r="C28" s="18" t="n">
        <x:f>SUMIF('Охват стран'!$B$2:$B$198,A28,'Охват стран'!$J$2:$J$198)</x:f>
        <x:v>14</x:v>
      </x:c>
    </x:row>
    <x:row r="29" ht="29" customHeight="1">
      <x:c r="A29" s="18" t="str">
        <x:v>Северная Америка</x:v>
      </x:c>
      <x:c r="B29" s="18" t="n">
        <x:f>COUNTIFS('Охват стран'!$B$2:$B$198,A29,'Охват стран'!$I$2:$I$198,"Основной охват")</x:f>
        <x:v>3</x:v>
      </x:c>
      <x:c r="C29" s="18" t="n">
        <x:f>SUMIF('Охват стран'!$B$2:$B$198,A29,'Охват стран'!$J$2:$J$198)</x:f>
        <x:v>4</x:v>
      </x:c>
    </x:row>
    <x:row r="30" ht="29" customHeight="1">
      <x:c r="A30" s="18" t="str">
        <x:v>Центральная Америка</x:v>
      </x:c>
      <x:c r="B30" s="18" t="n">
        <x:f>COUNTIFS('Охват стран'!$B$2:$B$198,A30,'Охват стран'!$I$2:$I$198,"Основной охват")</x:f>
        <x:v>7</x:v>
      </x:c>
      <x:c r="C30" s="18" t="n">
        <x:f>SUMIF('Охват стран'!$B$2:$B$198,A30,'Охват стран'!$J$2:$J$198)</x:f>
        <x:v>3</x:v>
      </x:c>
    </x:row>
    <x:row r="31" ht="29" customHeight="1">
      <x:c r="A31" s="18" t="str">
        <x:v>Южная Америка</x:v>
      </x:c>
      <x:c r="B31" s="18" t="n">
        <x:f>COUNTIFS('Охват стран'!$B$2:$B$198,A31,'Охват стран'!$I$2:$I$198,"Основной охват")</x:f>
        <x:v>12</x:v>
      </x:c>
      <x:c r="C31" s="18" t="n">
        <x:f>SUMIF('Охват стран'!$B$2:$B$198,A31,'Охват стран'!$J$2:$J$198)</x:f>
        <x:v>11</x:v>
      </x:c>
    </x:row>
    <x:row r="32" ht="29" customHeight="1">
      <x:c r="A32" s="18" t="str">
        <x:v>Карибский бассейн</x:v>
      </x:c>
      <x:c r="B32" s="18" t="n">
        <x:f>COUNTIFS('Охват стран'!$B$2:$B$198,A32,'Охват стран'!$I$2:$I$198,"Основной охват")</x:f>
        <x:v>13</x:v>
      </x:c>
      <x:c r="C32" s="18" t="n">
        <x:f>SUMIF('Охват стран'!$B$2:$B$198,A32,'Охват стран'!$J$2:$J$198)</x:f>
        <x:v>2</x:v>
      </x:c>
    </x:row>
    <x:row r="33" ht="29" customHeight="1">
      <x:c r="A33" s="18" t="str">
        <x:v>Северная Африка</x:v>
      </x:c>
      <x:c r="B33" s="18" t="n">
        <x:f>COUNTIFS('Охват стран'!$B$2:$B$198,A33,'Охват стран'!$I$2:$I$198,"Основной охват")</x:f>
        <x:v>6</x:v>
      </x:c>
      <x:c r="C33" s="18" t="n">
        <x:f>SUMIF('Охват стран'!$B$2:$B$198,A33,'Охват стран'!$J$2:$J$198)</x:f>
        <x:v>4</x:v>
      </x:c>
    </x:row>
    <x:row r="34" ht="29" customHeight="1">
      <x:c r="A34" s="18" t="str">
        <x:v>Западная Африка</x:v>
      </x:c>
      <x:c r="B34" s="18" t="n">
        <x:f>COUNTIFS('Охват стран'!$B$2:$B$198,A34,'Охват стран'!$I$2:$I$198,"Основной охват")</x:f>
        <x:v>16</x:v>
      </x:c>
      <x:c r="C34" s="18" t="n">
        <x:f>SUMIF('Охват стран'!$B$2:$B$198,A34,'Охват стран'!$J$2:$J$198)</x:f>
        <x:v>7</x:v>
      </x:c>
    </x:row>
    <x:row r="35" ht="29" customHeight="1">
      <x:c r="A35" s="18" t="str">
        <x:v>Восточная Африка</x:v>
      </x:c>
      <x:c r="B35" s="18" t="n">
        <x:f>COUNTIFS('Охват стран'!$B$2:$B$198,A35,'Охват стран'!$I$2:$I$198,"Основной охват")</x:f>
        <x:v>18</x:v>
      </x:c>
      <x:c r="C35" s="18" t="n">
        <x:f>SUMIF('Охват стран'!$B$2:$B$198,A35,'Охват стран'!$J$2:$J$198)</x:f>
        <x:v>3</x:v>
      </x:c>
    </x:row>
    <x:row r="36" ht="29" customHeight="1">
      <x:c r="A36" s="18" t="str">
        <x:v>Центральная Африка</x:v>
      </x:c>
      <x:c r="B36" s="18" t="n">
        <x:f>COUNTIFS('Охват стран'!$B$2:$B$198,A36,'Охват стран'!$I$2:$I$198,"Основной охват")</x:f>
        <x:v>9</x:v>
      </x:c>
      <x:c r="C36" s="18" t="n">
        <x:f>SUMIF('Охват стран'!$B$2:$B$198,A36,'Охват стран'!$J$2:$J$198)</x:f>
        <x:v>3</x:v>
      </x:c>
    </x:row>
    <x:row r="37" ht="29" customHeight="1">
      <x:c r="A37" s="18" t="str">
        <x:v>Южная Африка</x:v>
      </x:c>
      <x:c r="B37" s="18" t="n">
        <x:f>COUNTIFS('Охват стран'!$B$2:$B$198,A37,'Охват стран'!$I$2:$I$198,"Основной охват")</x:f>
        <x:v>5</x:v>
      </x:c>
      <x:c r="C37" s="18" t="n">
        <x:f>SUMIF('Охват стран'!$B$2:$B$198,A37,'Охват стран'!$J$2:$J$198)</x:f>
        <x:v>1</x:v>
      </x:c>
    </x:row>
    <x:row r="38" ht="29" customHeight="1">
      <x:c r="A38" s="18" t="str">
        <x:v>Австралия</x:v>
      </x:c>
      <x:c r="B38" s="18" t="n">
        <x:f>COUNTIFS('Охват стран'!$B$2:$B$198,A38,'Охват стран'!$I$2:$I$198,"Основной охват")</x:f>
        <x:v>1</x:v>
      </x:c>
      <x:c r="C38" s="18" t="n">
        <x:f>SUMIF('Охват стран'!$B$2:$B$198,A38,'Охват стран'!$J$2:$J$198)</x:f>
        <x:v>1</x:v>
      </x:c>
    </x:row>
    <x:row r="39" ht="29" customHeight="1">
      <x:c r="A39" s="18" t="str">
        <x:v>Океания</x:v>
      </x:c>
      <x:c r="B39" s="18" t="n">
        <x:f>COUNTIFS('Охват стран'!$B$2:$B$198,A39,'Охват стран'!$I$2:$I$198,"Основной охват")</x:f>
        <x:v>13</x:v>
      </x:c>
      <x:c r="C39" s="18" t="n">
        <x:f>SUMIF('Охват стран'!$B$2:$B$198,A39,'Охват стран'!$J$2:$J$198)</x:f>
        <x:v>0</x:v>
      </x:c>
    </x:row>
    <x:row r="40">
      <x:c r="A40" s="18"/>
      <x:c r="B40" s="18"/>
      <x:c r="C40" s="18"/>
    </x:row>
    <x:row r="41" ht="28" customHeight="1">
      <x:c r="A41" s="22" t="str">
        <x:v>Методика и ограничения</x:v>
      </x:c>
      <x:c r="B41" s="22" t="str"/>
      <x:c r="C41" s="22" t="str"/>
    </x:row>
    <x:row r="42" ht="75" customHeight="1">
      <x:c r="A42" s="18" t="str">
        <x:v>Критерий включения</x:v>
      </x:c>
      <x:c r="B42" s="18" t="str"/>
      <x:c r="C42" s="18" t="str">
        <x:v>Общепрофильное национальное объединение философов. Исключения для исследовательской школы, открытой сети или культурного фонда прямо объяснены в примечании.</x:v>
      </x:c>
    </x:row>
    <x:row r="43" ht="75" customHeight="1">
      <x:c r="A43" s="18" t="str">
        <x:v>Приоритет источников</x:v>
      </x:c>
      <x:c r="B43" s="18" t="str"/>
      <x:c r="C43" s="18" t="str">
        <x:v>Собственный сайт, официальное издание, FISP, академии наук, университеты, государственные органы и академические издательства. Wikipedia не используется для подтверждения строки.</x:v>
      </x:c>
    </x:row>
    <x:row r="44" ht="75" customHeight="1">
      <x:c r="A44" s="18" t="str">
        <x:v>Неустановленные сведения</x:v>
      </x:c>
      <x:c r="B44" s="18" t="str"/>
      <x:c r="C44" s="18" t="str">
        <x:v>«Не обнаружен» / «Не обнаружено» обозначает результат проверки доступных источников. «Не удалось достоверно установить» применяется к руководству и неясным сведениям.</x:v>
      </x:c>
    </x:row>
    <x:row r="45" ht="75" customHeight="1">
      <x:c r="A45" s="18" t="str">
        <x:v>Актуальность</x:v>
      </x:c>
      <x:c r="B45" s="18" t="str"/>
      <x:c r="C45" s="18" t="str">
        <x:v>Членство в действующем реестре FISP подтверждает национальное признание, но само по себе не доказывает активность общества или действительность старого правления. Такие случаи вынесены на проверку.</x:v>
      </x:c>
    </x:row>
    <x:row r="46" ht="75" customHeight="1">
      <x:c r="A46" s="18" t="str">
        <x:v>Журналы и руководители</x:v>
      </x:c>
      <x:c r="B46" s="18" t="str"/>
      <x:c r="C46" s="18" t="str">
        <x:v>Издания университета или базового института не считаются журналами общества без прямой институциональной связи. Почетный президент, директор института и президент одной ежегодной сессии не считаются первым руководителем автоматически.</x:v>
      </x:c>
    </x:row>
    <x:row r="47" ht="75" customHeight="1">
      <x:c r="A47" s="18" t="str">
        <x:v>Доступность ссылок</x:v>
      </x:c>
      <x:c r="B47" s="18" t="str"/>
      <x:c r="C47" s="18" t="str">
        <x:v>Проверены прямые URL. HTTP 403, 406 и 429 могут означать ограничение автоматического доступа; ошибки загрузки не доказывают прекращение деятельности. Отдельные первичные страницы доступны через поисковую индексацию.</x:v>
      </x:c>
    </x:row>
    <x:row r="48" ht="75" customHeight="1">
      <x:c r="A48" s="18" t="str">
        <x:v>Региональный подсчет</x:v>
      </x:c>
      <x:c r="B48" s="18" t="str"/>
      <x:c r="C48" s="18" t="str">
        <x:v>AAP занимает одну строку и отнесена к Австралии; в страновом охвате отмечены также Новая Зеландия и Сингапур. Косово и Тайвань входят в число организаций по своим регионам, но не в счет 195 государств.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34E7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43" hidden="0" customWidth="1"/>
    <col min="3" max="3" width="66" hidden="0" customWidth="1"/>
    <col min="4" max="4" width="84" hidden="0" customWidth="1"/>
    <col min="5" max="5" width="70" hidden="0" customWidth="1"/>
    <col min="6" max="6" width="58" hidden="0" customWidth="1"/>
    <col min="7" max="7" width="21" hidden="0" customWidth="1"/>
  </cols>
  <sheetData>
    <row r="1" ht="85" customHeight="1">
      <c r="A1" s="5" t="str">
        <v>Страна</v>
      </c>
      <c r="B1" s="5" t="str">
        <v>Организация</v>
      </c>
      <c r="C1" s="5" t="str">
        <v>Проблемный вопрос</v>
      </c>
      <c r="D1" s="5" t="str">
        <v>Что удалось установить</v>
      </c>
      <c r="E1" s="5" t="str">
        <v>Что необходимо дополнительно проверить</v>
      </c>
      <c r="F1" s="5" t="str">
        <v>Источник</v>
      </c>
      <c r="G1" s="5" t="str">
        <v>Дата проверки</v>
      </c>
    </row>
    <row r="2" ht="48" customHeight="1">
      <c r="A2" s="3" t="str">
        <v>Азербайджан</v>
      </c>
      <c r="B2" s="3" t="str">
        <v>Национальная организация не определена</v>
      </c>
      <c r="C2" s="3" t="str">
        <v>Не удалось достоверно определить национальное профессиональное объединение.</v>
      </c>
      <c r="D2" s="3" t="str">
        <v>Проверены международные реестры и поисковые запросы; надежное подтверждение национальной организации не найдено.</v>
      </c>
      <c r="E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" s="3" t="str">
        <v>Не обнаружен</v>
      </c>
      <c r="G2" s="6" t="n">
        <v>46300</v>
      </c>
    </row>
    <row r="3" ht="48" customHeight="1">
      <c r="A3" s="3" t="str">
        <v>Албания</v>
      </c>
      <c r="B3" s="3" t="str">
        <v>Национальная организация не определена</v>
      </c>
      <c r="C3" s="3" t="str">
        <v>Не удалось достоверно определить национальное профессиональное объединение.</v>
      </c>
      <c r="D3" s="3" t="str">
        <v>Проверены международные реестры и поисковые запросы; надежное подтверждение национальной организации не найдено.</v>
      </c>
      <c r="E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" s="3" t="str">
        <v>Не обнаружен</v>
      </c>
      <c r="G3" s="6" t="n">
        <v>46300</v>
      </c>
    </row>
    <row r="4" ht="48" customHeight="1">
      <c r="A4" s="3" t="str">
        <v>Алжир</v>
      </c>
      <c r="B4" s="3" t="str">
        <v>Национальная организация не определена</v>
      </c>
      <c r="C4" s="3" t="str">
        <v>Не удалось достоверно определить национальное профессиональное объединение.</v>
      </c>
      <c r="D4" s="3" t="str">
        <v>Проверены международные реестры и поисковые запросы; надежное подтверждение национальной организации не найдено.</v>
      </c>
      <c r="E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" s="3" t="str">
        <v>Не обнаружен</v>
      </c>
      <c r="G4" s="6" t="n">
        <v>46300</v>
      </c>
    </row>
    <row r="5" ht="48" customHeight="1">
      <c r="A5" s="3" t="str">
        <v>Ангола</v>
      </c>
      <c r="B5" s="3" t="str">
        <v>Национальная организация не определена</v>
      </c>
      <c r="C5" s="3" t="str">
        <v>Не удалось достоверно определить национальное профессиональное объединение.</v>
      </c>
      <c r="D5" s="3" t="str">
        <v>Проверены международные реестры и поисковые запросы; надежное подтверждение национальной организации не найдено.</v>
      </c>
      <c r="E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5" s="3" t="str">
        <v>Не обнаружен</v>
      </c>
      <c r="G5" s="6" t="n">
        <v>46300</v>
      </c>
    </row>
    <row r="6" ht="48" customHeight="1">
      <c r="A6" s="3" t="str">
        <v>Андорра</v>
      </c>
      <c r="B6" s="3" t="str">
        <v>Национальная организация не определена</v>
      </c>
      <c r="C6" s="3" t="str">
        <v>Не удалось достоверно определить национальное профессиональное объединение.</v>
      </c>
      <c r="D6" s="3" t="str">
        <v>Проверены международные реестры и поисковые запросы; надежное подтверждение национальной организации не найдено.</v>
      </c>
      <c r="E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6" s="3" t="str">
        <v>Не обнаружен</v>
      </c>
      <c r="G6" s="6" t="n">
        <v>46300</v>
      </c>
    </row>
    <row r="7" ht="48" customHeight="1">
      <c r="A7" s="3" t="str">
        <v>Антигуа и Барбуда</v>
      </c>
      <c r="B7" s="3" t="str">
        <v>Национальная организация не определена</v>
      </c>
      <c r="C7" s="3" t="str">
        <v>Не удалось достоверно определить национальное профессиональное объединение.</v>
      </c>
      <c r="D7" s="3" t="str">
        <v>Проверены международные реестры и поисковые запросы; надежное подтверждение национальной организации не найдено.</v>
      </c>
      <c r="E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" s="3" t="str">
        <v>Не обнаружен</v>
      </c>
      <c r="G7" s="6" t="n">
        <v>46300</v>
      </c>
    </row>
    <row r="8" ht="48" customHeight="1">
      <c r="A8" s="3" t="str">
        <v>Аргентина</v>
      </c>
      <c r="B8" s="3" t="str">
        <v>Аргентинская философская ассоциация</v>
      </c>
      <c r="C8" s="3" t="str">
        <v>В стране несколько национальных объединений; полномочия и различия требуют сопоставления.</v>
      </c>
      <c r="D8" s="3" t="str">
        <v>Руководитель: Manuel Berrón; Президент (Presidente). Правление избрано 13.09.2024 на 2024–2026 годы: Организует национальные философские конгрессы. Дополнительные подтверждения приведены на листе «Источники».</v>
      </c>
      <c r="E8" s="3" t="str">
        <v>Сопоставить уставы, состав членов, представительские функции и проведение национальных конгрессов.</v>
      </c>
      <c r="F8" s="7" t="str">
        <v>https://afra.org.ar/?page_id=89</v>
      </c>
      <c r="G8" s="6" t="n">
        <v>46300</v>
      </c>
    </row>
    <row r="9" ht="113" customHeight="1">
      <c r="A9" s="3" t="str">
        <v>Аргентина</v>
      </c>
      <c r="B9" s="3" t="str">
        <v>Аргентинское философское общество</v>
      </c>
      <c r="C9" s="3" t="str">
        <v>Не удалось достоверно установить действующего первого руководителя.
Актуальное руководство и продолжение деятельности после сведений 2016 требуют подтверждения; старый официальный адрес недоступен.
В стране несколько национальных объединений; полномочия и различия требуют сопоставления.</v>
      </c>
      <c r="D9" s="3" t="str">
        <v>Отдельная организация от Asociación Filosófica Argentina (AFRA), обе указаны среди национальных членов FISP. Найден собственный сайт WordPress; старый адрес sociedad-filosofia.com не загрузился. Последние выборы, описанные собственным сайтом, относятся к 2016 (Héctor Jorge Padrón); их результат не представлен как актуальное руководство. Историческая Revista de la Sociedad Argentina de Filosofía не внесена как текущий журнал.</v>
      </c>
      <c r="E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
Найти свежие мероприятия, отчет или официальный ответ о продолжении деятельности.</v>
      </c>
      <c r="F9" s="7" t="str">
        <v>https://www.fisp.org/members/national-societies</v>
      </c>
      <c r="G9" s="6" t="n">
        <v>46300</v>
      </c>
    </row>
    <row r="10" ht="61" customHeight="1">
      <c r="A10" s="3" t="str">
        <v>Армения</v>
      </c>
      <c r="B10" s="3" t="str">
        <v>Армянская философская академия</v>
      </c>
      <c r="C10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10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10" s="7" t="str">
        <v>https://www.fisp.org/members/national-societies</v>
      </c>
      <c r="G10" s="6" t="n">
        <v>46300</v>
      </c>
    </row>
    <row r="11" ht="48" customHeight="1">
      <c r="A11" s="3" t="str">
        <v>Афганистан</v>
      </c>
      <c r="B11" s="3" t="str">
        <v>Национальная организация не определена</v>
      </c>
      <c r="C11" s="3" t="str">
        <v>Не удалось достоверно определить национальное профессиональное объединение.</v>
      </c>
      <c r="D11" s="3" t="str">
        <v>Проверены международные реестры и поисковые запросы; надежное подтверждение национальной организации не найдено.</v>
      </c>
      <c r="E1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" s="3" t="str">
        <v>Не обнаружен</v>
      </c>
      <c r="G11" s="6" t="n">
        <v>46300</v>
      </c>
    </row>
    <row r="12" ht="48" customHeight="1">
      <c r="A12" s="3" t="str">
        <v>Багамы</v>
      </c>
      <c r="B12" s="3" t="str">
        <v>Национальная организация не определена</v>
      </c>
      <c r="C12" s="3" t="str">
        <v>Не удалось достоверно определить национальное профессиональное объединение.</v>
      </c>
      <c r="D12" s="3" t="str">
        <v>Проверены международные реестры и поисковые запросы; надежное подтверждение национальной организации не найдено.</v>
      </c>
      <c r="E1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" s="3" t="str">
        <v>Не обнаружен</v>
      </c>
      <c r="G12" s="6" t="n">
        <v>46300</v>
      </c>
    </row>
    <row r="13" ht="61" customHeight="1">
      <c r="A13" s="3" t="str">
        <v>Бангладеш</v>
      </c>
      <c r="B13" s="3" t="str">
        <v>Бангладешское философское общество</v>
      </c>
      <c r="C13" s="3" t="str">
        <v>Не удалось достоверно установить действующего первого руководителя.
Не обнаружены официальный устав и актуальное руководство; официальное оригинальное название требует проверки.</v>
      </c>
      <c r="D13" s="3" t="str">
        <v>Официальное название приведено по английскому сообщению государственного агентства BSS; бенгальская форма требует сверки с уставом. Действующая организация подтверждена государственным агентством BSS в августе 2026. На сайте Даккского университета указано президентство Shah Kawthar Mustafa Abululayee только за 2023–2025; на 2026 не перенесено.</v>
      </c>
      <c r="E1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3" s="7" t="str">
        <v>https://www.bssnews.net/news-flash/410663</v>
      </c>
      <c r="G13" s="6" t="n">
        <v>46300</v>
      </c>
    </row>
    <row r="14" ht="48" customHeight="1">
      <c r="A14" s="3" t="str">
        <v>Барбадос</v>
      </c>
      <c r="B14" s="3" t="str">
        <v>Национальная организация не определена</v>
      </c>
      <c r="C14" s="3" t="str">
        <v>Не удалось достоверно определить национальное профессиональное объединение.</v>
      </c>
      <c r="D14" s="3" t="str">
        <v>Проверены международные реестры и поисковые запросы; надежное подтверждение национальной организации не найдено.</v>
      </c>
      <c r="E1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" s="3" t="str">
        <v>Не обнаружен</v>
      </c>
      <c r="G14" s="6" t="n">
        <v>46300</v>
      </c>
    </row>
    <row r="15" ht="48" customHeight="1">
      <c r="A15" s="3" t="str">
        <v>Бахрейн</v>
      </c>
      <c r="B15" s="3" t="str">
        <v>Национальная организация не определена</v>
      </c>
      <c r="C15" s="3" t="str">
        <v>Не удалось достоверно определить национальное профессиональное объединение.</v>
      </c>
      <c r="D15" s="3" t="str">
        <v>Проверены международные реестры и поисковые запросы; надежное подтверждение национальной организации не найдено.</v>
      </c>
      <c r="E1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" s="3" t="str">
        <v>Не обнаружен</v>
      </c>
      <c r="G15" s="6" t="n">
        <v>46300</v>
      </c>
    </row>
    <row r="16" ht="61" customHeight="1">
      <c r="A16" s="3" t="str">
        <v>Беларусь</v>
      </c>
      <c r="B16" s="3" t="str">
        <v>Белорусское философское общество</v>
      </c>
      <c r="C16" s="3" t="str">
        <v>Не удалось достоверно установить действующего первого руководителя.</v>
      </c>
      <c r="D16" s="3" t="str">
        <v>Официальный сайт базового Института прямо называет БФО основным объединением философов страны; взносы и заседания за 2026 год подтверждают деятельность. Анатолий Лазаревич в сообщении 19.03.2026 — заместитель председателя, поэтому не указан первым руководителем. Членство Института в FISP не перенесено на БФО.</v>
      </c>
      <c r="E1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6" s="7" t="str">
        <v>https://philosophy.by/en/community/society/</v>
      </c>
      <c r="G16" s="6" t="n">
        <v>46300</v>
      </c>
    </row>
    <row r="17" ht="48" customHeight="1">
      <c r="A17" s="3" t="str">
        <v>Белиз</v>
      </c>
      <c r="B17" s="3" t="str">
        <v>Национальная организация не определена</v>
      </c>
      <c r="C17" s="3" t="str">
        <v>Не удалось достоверно определить национальное профессиональное объединение.</v>
      </c>
      <c r="D17" s="3" t="str">
        <v>Проверены международные реестры и поисковые запросы; надежное подтверждение национальной организации не найдено.</v>
      </c>
      <c r="E1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" s="3" t="str">
        <v>Не обнаружен</v>
      </c>
      <c r="G17" s="6" t="n">
        <v>46300</v>
      </c>
    </row>
    <row r="18" ht="74" customHeight="1">
      <c r="A18" s="3" t="str">
        <v>Бельгия</v>
      </c>
      <c r="B18" s="3" t="str">
        <v>Бельгийское философское общество</v>
      </c>
      <c r="C18" s="3" t="str">
        <v>Не удалось достоверно установить действующего первого руководителя.
Сайт не удалось открыть; текущий руководитель и современная деятельность требуют подтверждения.
Официальный сайт не открылся при автоматической проверке: При проверке не открылся; HTTP 502.</v>
      </c>
      <c r="D18" s="3" t="str">
        <v>ASPLF подтверждает членство; академический CTHS подтверждает широкое научное общество. Не смешано с региональной Société philosophique de Louvain. Доступ к официальному сайту: При проверке не открылся; HTTP 502.</v>
      </c>
      <c r="E1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8" s="7" t="str">
        <v>https://asplf.org/liste-des-societes/</v>
      </c>
      <c r="G18" s="6" t="n">
        <v>46300</v>
      </c>
    </row>
    <row r="19" ht="61" customHeight="1">
      <c r="A19" s="3" t="str">
        <v>Бенин</v>
      </c>
      <c r="B19" s="3" t="str">
        <v>Бенинское философское общество</v>
      </c>
      <c r="C19" s="3" t="str">
        <v>Не удалось достоверно установить действующего первого руководителя.
Необходимо подтвердить текущий выпуск и периодичность официально связанного журнала.</v>
      </c>
      <c r="D19" s="3" t="str">
        <v>Связь журнала So.Bé.Phie подтверждена публикацией на официальном сервере Université d’Abomey-Calavi. Современный собственный сайт и руководство не подтверждены. Издатель подтвержден отдельным выпуском на университетском сервере; актуальная периодичность журнала в 2026 году не установлена.</v>
      </c>
      <c r="E1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Проверить издателя, учредителя и институциональное соглашение на официальной странице издания.</v>
      </c>
      <c r="F19" s="7" t="str">
        <v>https://asplf.org/liste-des-societes/</v>
      </c>
      <c r="G19" s="6" t="n">
        <v>46300</v>
      </c>
    </row>
    <row r="20" ht="61" customHeight="1">
      <c r="A20" s="3" t="str">
        <v>Болгария</v>
      </c>
      <c r="B20" s="3" t="str">
        <v>Болгарское философское общество</v>
      </c>
      <c r="C20" s="3" t="str">
        <v>Не удалось достоверно установить действующего первого руководителя.
Современная деятельность после 2022 и действующее руководство не подтверждены.</v>
      </c>
      <c r="D20" s="3" t="str">
        <v>Оригинальное название взято из заголовка собственного сайта. Последняя видимая публикация на главной странице — 2022; бюллетень 2020 не указан как действующий журнал.</v>
      </c>
      <c r="E2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20" s="7" t="str">
        <v>https://bulgarianphilosophicalsociety.wordpress.com/</v>
      </c>
      <c r="G20" s="6" t="n">
        <v>46300</v>
      </c>
    </row>
    <row r="21" ht="48" customHeight="1">
      <c r="A21" s="3" t="str">
        <v>Боливия</v>
      </c>
      <c r="B21" s="3" t="str">
        <v>Национальная организация не определена</v>
      </c>
      <c r="C21" s="3" t="str">
        <v>Не удалось достоверно определить национальное профессиональное объединение.</v>
      </c>
      <c r="D21" s="3" t="str">
        <v>Проверены международные реестры и поисковые запросы; надежное подтверждение национальной организации не найдено.</v>
      </c>
      <c r="E2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1" s="3" t="str">
        <v>Не обнаружен</v>
      </c>
      <c r="G21" s="6" t="n">
        <v>46300</v>
      </c>
    </row>
    <row r="22" ht="61" customHeight="1">
      <c r="A22" s="3" t="str">
        <v>Босния и Герцеговина</v>
      </c>
      <c r="B22" s="3" t="str">
        <v>Философское общество «Theoria»</v>
      </c>
      <c r="C22" s="3" t="str">
        <v>Не удалось достоверно установить действующего первого руководителя.
Требует проверки национальная представительная функция и актуальность руководства, опубликованного в 2021.</v>
      </c>
      <c r="D22" s="3" t="str">
        <v>Исключение:широкое философское общество с заявленным охватом культурного пространства Боснии и Герцеговины. Формальный статус единого национального представителя не установлен. Страница руководства обновлена в 2021:Samir Arnautović — председатель общества, Damir Marić — председатель собрания; актуальность на 2026 не подтверждена.</v>
      </c>
      <c r="E22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22" s="7" t="str">
        <v>https://www.fdt.ba/o-nama/</v>
      </c>
      <c r="G22" s="6" t="n">
        <v>46300</v>
      </c>
    </row>
    <row r="23" ht="48" customHeight="1">
      <c r="A23" s="3" t="str">
        <v>Ботсвана</v>
      </c>
      <c r="B23" s="3" t="str">
        <v>Национальная организация не определена</v>
      </c>
      <c r="C23" s="3" t="str">
        <v>Не удалось достоверно определить национальное профессиональное объединение.</v>
      </c>
      <c r="D23" s="3" t="str">
        <v>Проверены международные реестры и поисковые запросы; надежное подтверждение национальной организации не найдено.</v>
      </c>
      <c r="E2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3" s="3" t="str">
        <v>Не обнаружен</v>
      </c>
      <c r="G23" s="6" t="n">
        <v>46300</v>
      </c>
    </row>
    <row r="24" ht="74" customHeight="1">
      <c r="A24" s="3" t="str">
        <v>Бразилия</v>
      </c>
      <c r="B24" s="3" t="str">
        <v>Бразильская академия философии</v>
      </c>
      <c r="C24" s="3" t="str">
        <v>В стране несколько национальных объединений; полномочия и различия требуют сопоставления.</v>
      </c>
      <c r="D24" s="3" t="str">
        <v>Руководитель: Edgard Leite; Президент (Presidente). Другая форма национального объединения, чем ANPOF:академия избираемых философов и исследователей; ANPOF объединяет программы последипломного философского образования. Действующее правление 2025–2028; Carlos Nejar — почетный президент, не первый исполнительный руководитель. Адрес в FISP filosofia.org.br устарел; текущий официальный домен найден отдельно.</v>
      </c>
      <c r="E24" s="3" t="str">
        <v>Сопоставить уставы, состав членов, представительские функции и проведение национальных конгрессов.</v>
      </c>
      <c r="F24" s="7" t="str">
        <v>https://www.academia-de-filosofia.org.br/academia</v>
      </c>
      <c r="G24" s="6" t="n">
        <v>46300</v>
      </c>
    </row>
    <row r="25" ht="48" customHeight="1">
      <c r="A25" s="3" t="str">
        <v>Бразилия</v>
      </c>
      <c r="B25" s="3" t="str">
        <v>Национальная ассоциация последипломного образования по философии</v>
      </c>
      <c r="C25" s="3" t="str">
        <v>В стране несколько национальных объединений; полномочия и различия требуют сопоставления.</v>
      </c>
      <c r="D25" s="3" t="str">
        <v>Руководитель: Janyne Sattler; Президент (Presidente). Срок правления 2025–2026. Представляет академическую философию через программы магистратуры и докторантуры; отличается от персональной Академии философии.</v>
      </c>
      <c r="E25" s="3" t="str">
        <v>Сопоставить уставы, состав членов, представительские функции и проведение национальных конгрессов.</v>
      </c>
      <c r="F25" s="7" t="str">
        <v>https://www.anpof.org/anpof/diretoria</v>
      </c>
      <c r="G25" s="6" t="n">
        <v>46300</v>
      </c>
    </row>
    <row r="26" ht="48" customHeight="1">
      <c r="A26" s="3" t="str">
        <v>Бруней</v>
      </c>
      <c r="B26" s="3" t="str">
        <v>Национальная организация не определена</v>
      </c>
      <c r="C26" s="3" t="str">
        <v>Не удалось достоверно определить национальное профессиональное объединение.</v>
      </c>
      <c r="D26" s="3" t="str">
        <v>Проверены международные реестры и поисковые запросы; надежное подтверждение национальной организации не найдено.</v>
      </c>
      <c r="E2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6" s="3" t="str">
        <v>Не обнаружен</v>
      </c>
      <c r="G26" s="6" t="n">
        <v>46300</v>
      </c>
    </row>
    <row r="27" ht="48" customHeight="1">
      <c r="A27" s="3" t="str">
        <v>Буркина-Фасо</v>
      </c>
      <c r="B27" s="3" t="str">
        <v>Национальная организация не определена</v>
      </c>
      <c r="C27" s="3" t="str">
        <v>Не удалось достоверно определить национальное профессиональное объединение.</v>
      </c>
      <c r="D27" s="3" t="str">
        <v>Проверены международные реестры и поисковые запросы; надежное подтверждение национальной организации не найдено.</v>
      </c>
      <c r="E2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7" s="3" t="str">
        <v>Не обнаружен</v>
      </c>
      <c r="G27" s="6" t="n">
        <v>46300</v>
      </c>
    </row>
    <row r="28" ht="48" customHeight="1">
      <c r="A28" s="3" t="str">
        <v>Бурунди</v>
      </c>
      <c r="B28" s="3" t="str">
        <v>Национальная организация не определена</v>
      </c>
      <c r="C28" s="3" t="str">
        <v>Не удалось достоверно определить национальное профессиональное объединение.</v>
      </c>
      <c r="D28" s="3" t="str">
        <v>Проверены международные реестры и поисковые запросы; надежное подтверждение национальной организации не найдено.</v>
      </c>
      <c r="E2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8" s="3" t="str">
        <v>Не обнаружен</v>
      </c>
      <c r="G28" s="6" t="n">
        <v>46300</v>
      </c>
    </row>
    <row r="29" ht="48" customHeight="1">
      <c r="A29" s="3" t="str">
        <v>Бутан</v>
      </c>
      <c r="B29" s="3" t="str">
        <v>Национальная организация не определена</v>
      </c>
      <c r="C29" s="3" t="str">
        <v>Не удалось достоверно определить национальное профессиональное объединение.</v>
      </c>
      <c r="D29" s="3" t="str">
        <v>Проверены международные реестры и поисковые запросы; надежное подтверждение национальной организации не найдено.</v>
      </c>
      <c r="E2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29" s="3" t="str">
        <v>Не обнаружен</v>
      </c>
      <c r="G29" s="6" t="n">
        <v>46300</v>
      </c>
    </row>
    <row r="30" ht="48" customHeight="1">
      <c r="A30" s="3" t="str">
        <v>Вануату</v>
      </c>
      <c r="B30" s="3" t="str">
        <v>Национальная организация не определена</v>
      </c>
      <c r="C30" s="3" t="str">
        <v>Не удалось достоверно определить национальное профессиональное объединение.</v>
      </c>
      <c r="D30" s="3" t="str">
        <v>Проверены международные реестры и поисковые запросы; надежное подтверждение национальной организации не найдено.</v>
      </c>
      <c r="E3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0" s="3" t="str">
        <v>Не обнаружен</v>
      </c>
      <c r="G30" s="6" t="n">
        <v>46300</v>
      </c>
    </row>
    <row r="31" ht="48" customHeight="1">
      <c r="A31" s="3" t="str">
        <v>Ватикан</v>
      </c>
      <c r="B31" s="3" t="str">
        <v>Национальная организация не определена</v>
      </c>
      <c r="C31" s="3" t="str">
        <v>Не удалось достоверно определить национальное профессиональное объединение.</v>
      </c>
      <c r="D31" s="3" t="str">
        <v>Проверены международные реестры и поисковые запросы; надежное подтверждение национальной организации не найдено.</v>
      </c>
      <c r="E3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1" s="3" t="str">
        <v>Не обнаружен</v>
      </c>
      <c r="G31" s="6" t="n">
        <v>46300</v>
      </c>
    </row>
    <row r="32" ht="87" customHeight="1">
      <c r="A32" s="3" t="str">
        <v>Великобритания</v>
      </c>
      <c r="B32" s="3" t="str">
        <v>Аристотелевское общество</v>
      </c>
      <c r="C32" s="3" t="str">
        <v>Не удалось достоверно установить действующего первого руководителя.
Страница управления не обновлена к новой сессии; необходимо уточнить полномочия President и Honorary Director.
В стране несколько национальных объединений; полномочия и различия требуют сопоставления.</v>
      </c>
      <c r="D32" s="3" t="str">
        <v>Несмотря на название, посвящено всей философии, а не изучению одного Аристотеля. Проводит общепрофильные научные заседания и Joint Session с Mind Association. BPA представляет профессиональные интересы, это общество организует научное общение и публикации. Alexander Bird открыл президентскую сессию 2026–2027 28.09.2026; на странице комитета пока Lucy O’Brien 2025–2026. Michael Hannon указан Honorary Director. До уточнения соотношения высшей и административной должностей первый руководитель не выбран. Другие социальные сети: Bluesky.</v>
      </c>
      <c r="E32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</v>
      </c>
      <c r="F32" s="7" t="str">
        <v>https://www.aristoteliansociety.org.uk/the-proceedings/the-2026-27-programme/</v>
      </c>
      <c r="G32" s="6" t="n">
        <v>46300</v>
      </c>
    </row>
    <row r="33" ht="61" customHeight="1">
      <c r="A33" s="3" t="str">
        <v>Великобритания</v>
      </c>
      <c r="B33" s="3" t="str">
        <v>Британская философская ассоциация</v>
      </c>
      <c r="C33" s="3" t="str">
        <v>В стране несколько национальных объединений; полномочия и различия требуют сопоставления.</v>
      </c>
      <c r="D33" s="3" t="str">
        <v>Руководитель: Fiona Macpherson; Президент (President). Руководство подтверждено сообщением BPA Prizes 2026 и страницей Contact. Представляет интересы профессиональных философов Великобритании. The Aristotelian Society отдельно включено как широкопрофильное научное членское общество; BPA выполняет профессиональную представительскую функцию.</v>
      </c>
      <c r="E33" s="3" t="str">
        <v>Сопоставить уставы, состав членов, представительские функции и проведение национальных конгрессов.</v>
      </c>
      <c r="F33" s="7" t="str">
        <v>https://bpa.ac.uk/prizes2026/</v>
      </c>
      <c r="G33" s="6" t="n">
        <v>46300</v>
      </c>
    </row>
    <row r="34" ht="61" customHeight="1">
      <c r="A34" s="3" t="str">
        <v>Венесуэла</v>
      </c>
      <c r="B34" s="3" t="str">
        <v>Венесуэльское философское общество</v>
      </c>
      <c r="C34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34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34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34" s="7" t="str">
        <v>https://www.fisp.org/members/national-societies</v>
      </c>
      <c r="G34" s="6" t="n">
        <v>46300</v>
      </c>
    </row>
    <row r="35" ht="48" customHeight="1">
      <c r="A35" s="3" t="str">
        <v>Габон</v>
      </c>
      <c r="B35" s="3" t="str">
        <v>Национальная организация не определена</v>
      </c>
      <c r="C35" s="3" t="str">
        <v>Не удалось достоверно определить национальное профессиональное объединение.</v>
      </c>
      <c r="D35" s="3" t="str">
        <v>Проверены международные реестры и поисковые запросы; надежное подтверждение национальной организации не найдено.</v>
      </c>
      <c r="E3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5" s="3" t="str">
        <v>Не обнаружен</v>
      </c>
      <c r="G35" s="6" t="n">
        <v>46300</v>
      </c>
    </row>
    <row r="36" ht="48" customHeight="1">
      <c r="A36" s="3" t="str">
        <v>Гаити</v>
      </c>
      <c r="B36" s="3" t="str">
        <v>Национальная организация не определена</v>
      </c>
      <c r="C36" s="3" t="str">
        <v>Не удалось достоверно определить национальное профессиональное объединение.</v>
      </c>
      <c r="D36" s="3" t="str">
        <v>Проверены международные реестры и поисковые запросы; надежное подтверждение национальной организации не найдено.</v>
      </c>
      <c r="E3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6" s="3" t="str">
        <v>Не обнаружен</v>
      </c>
      <c r="G36" s="6" t="n">
        <v>46300</v>
      </c>
    </row>
    <row r="37" ht="48" customHeight="1">
      <c r="A37" s="3" t="str">
        <v>Гайана</v>
      </c>
      <c r="B37" s="3" t="str">
        <v>Национальная организация не определена</v>
      </c>
      <c r="C37" s="3" t="str">
        <v>Не удалось достоверно определить национальное профессиональное объединение.</v>
      </c>
      <c r="D37" s="3" t="str">
        <v>Проверены международные реестры и поисковые запросы; надежное подтверждение национальной организации не найдено.</v>
      </c>
      <c r="E3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7" s="3" t="str">
        <v>Не обнаружен</v>
      </c>
      <c r="G37" s="6" t="n">
        <v>46300</v>
      </c>
    </row>
    <row r="38" ht="48" customHeight="1">
      <c r="A38" s="3" t="str">
        <v>Гамбия</v>
      </c>
      <c r="B38" s="3" t="str">
        <v>Национальная организация не определена</v>
      </c>
      <c r="C38" s="3" t="str">
        <v>Не удалось достоверно определить национальное профессиональное объединение.</v>
      </c>
      <c r="D38" s="3" t="str">
        <v>Проверены международные реестры и поисковые запросы; надежное подтверждение национальной организации не найдено.</v>
      </c>
      <c r="E3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8" s="3" t="str">
        <v>Не обнаружен</v>
      </c>
      <c r="G38" s="6" t="n">
        <v>46300</v>
      </c>
    </row>
    <row r="39" ht="48" customHeight="1">
      <c r="A39" s="3" t="str">
        <v>Гана</v>
      </c>
      <c r="B39" s="3" t="str">
        <v>Национальная организация не определена</v>
      </c>
      <c r="C39" s="3" t="str">
        <v>Не удалось достоверно определить национальное профессиональное объединение.</v>
      </c>
      <c r="D39" s="3" t="str">
        <v>Проверены международные реестры и поисковые запросы; надежное подтверждение национальной организации не найдено.</v>
      </c>
      <c r="E3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39" s="3" t="str">
        <v>Не обнаружен</v>
      </c>
      <c r="G39" s="6" t="n">
        <v>46300</v>
      </c>
    </row>
    <row r="40" ht="61" customHeight="1">
      <c r="A40" s="3" t="str">
        <v>Гватемала</v>
      </c>
      <c r="B40" s="3" t="str">
        <v>Гватемальская философская ассоциация</v>
      </c>
      <c r="C40" s="3" t="str">
        <v>Не удалось достоверно установить действующего первого руководителя.
Официальный сайт не открылся при автоматической проверке: При проверке не открылся; HTTP 502.</v>
      </c>
      <c r="D40" s="3" t="str">
        <v>Azur — совместный официальный орган национальных ассоциаций ACAFI. Доступ к официальному сайту: При проверке не открылся; HTTP 502.</v>
      </c>
      <c r="E4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40" s="7" t="str">
        <v>https://www.fisp.org/members/national-societies</v>
      </c>
      <c r="G40" s="6" t="n">
        <v>46300</v>
      </c>
    </row>
    <row r="41" ht="48" customHeight="1">
      <c r="A41" s="3" t="str">
        <v>Гвинея</v>
      </c>
      <c r="B41" s="3" t="str">
        <v>Национальная организация не определена</v>
      </c>
      <c r="C41" s="3" t="str">
        <v>Не удалось достоверно определить национальное профессиональное объединение.</v>
      </c>
      <c r="D41" s="3" t="str">
        <v>Проверены международные реестры и поисковые запросы; надежное подтверждение национальной организации не найдено.</v>
      </c>
      <c r="E4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1" s="3" t="str">
        <v>Не обнаружен</v>
      </c>
      <c r="G41" s="6" t="n">
        <v>46300</v>
      </c>
    </row>
    <row r="42" ht="48" customHeight="1">
      <c r="A42" s="3" t="str">
        <v>Гвинея-Бисау</v>
      </c>
      <c r="B42" s="3" t="str">
        <v>Национальная организация не определена</v>
      </c>
      <c r="C42" s="3" t="str">
        <v>Не удалось достоверно определить национальное профессиональное объединение.</v>
      </c>
      <c r="D42" s="3" t="str">
        <v>Проверены международные реестры и поисковые запросы; надежное подтверждение национальной организации не найдено.</v>
      </c>
      <c r="E4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2" s="3" t="str">
        <v>Не обнаружен</v>
      </c>
      <c r="G42" s="6" t="n">
        <v>46300</v>
      </c>
    </row>
    <row r="43" ht="48" customHeight="1">
      <c r="A43" s="3" t="str">
        <v>Гондурас</v>
      </c>
      <c r="B43" s="3" t="str">
        <v>Asociación Hondureña de Filosofía</v>
      </c>
      <c r="C43" s="3" t="str">
        <v>Кандидат исключен из основного реестра; национальный статус не подтвержден.</v>
      </c>
      <c r="D43" s="3" t="str">
        <v>Протокол ACAFI от 20.11.2025, опубликованный 20.07.2026, прямо сообщает: национальные ассоциации еще не созданы. Представители страны участвуют в ACAFI; действующая самостоятельная организация не подтверждена.</v>
      </c>
      <c r="E4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3" s="7" t="str">
        <v>https://azurrevista.com/wp-content/uploads/2026/08/1_Acta-del-XIV-Congreso-Centroamericano-de-Filosofia.html</v>
      </c>
      <c r="G43" s="6" t="n">
        <v>46300</v>
      </c>
    </row>
    <row r="44" ht="48" customHeight="1">
      <c r="A44" s="3" t="str">
        <v>Гренада</v>
      </c>
      <c r="B44" s="3" t="str">
        <v>Национальная организация не определена</v>
      </c>
      <c r="C44" s="3" t="str">
        <v>Не удалось достоверно определить национальное профессиональное объединение.</v>
      </c>
      <c r="D44" s="3" t="str">
        <v>Проверены международные реестры и поисковые запросы; надежное подтверждение национальной организации не найдено.</v>
      </c>
      <c r="E4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4" s="3" t="str">
        <v>Не обнаружен</v>
      </c>
      <c r="G44" s="6" t="n">
        <v>46300</v>
      </c>
    </row>
    <row r="45" ht="48" customHeight="1">
      <c r="A45" s="3" t="str">
        <v>Грузия</v>
      </c>
      <c r="B45" s="3" t="str">
        <v>Национальная организация не определена</v>
      </c>
      <c r="C45" s="3" t="str">
        <v>Не удалось достоверно определить национальное профессиональное объединение.</v>
      </c>
      <c r="D45" s="3" t="str">
        <v>Проверены международные реестры и поисковые запросы; надежное подтверждение национальной организации не найдено.</v>
      </c>
      <c r="E4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5" s="3" t="str">
        <v>Не обнаружен</v>
      </c>
      <c r="G45" s="6" t="n">
        <v>46300</v>
      </c>
    </row>
    <row r="46" ht="48" customHeight="1">
      <c r="A46" s="3" t="str">
        <v>Джибути</v>
      </c>
      <c r="B46" s="3" t="str">
        <v>Национальная организация не определена</v>
      </c>
      <c r="C46" s="3" t="str">
        <v>Не удалось достоверно определить национальное профессиональное объединение.</v>
      </c>
      <c r="D46" s="3" t="str">
        <v>Проверены международные реестры и поисковые запросы; надежное подтверждение национальной организации не найдено.</v>
      </c>
      <c r="E4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6" s="3" t="str">
        <v>Не обнаружен</v>
      </c>
      <c r="G46" s="6" t="n">
        <v>46300</v>
      </c>
    </row>
    <row r="47" ht="48" customHeight="1">
      <c r="A47" s="3" t="str">
        <v>Доминика</v>
      </c>
      <c r="B47" s="3" t="str">
        <v>Национальная организация не определена</v>
      </c>
      <c r="C47" s="3" t="str">
        <v>Не удалось достоверно определить национальное профессиональное объединение.</v>
      </c>
      <c r="D47" s="3" t="str">
        <v>Проверены международные реестры и поисковые запросы; надежное подтверждение национальной организации не найдено.</v>
      </c>
      <c r="E4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47" s="3" t="str">
        <v>Не обнаружен</v>
      </c>
      <c r="G47" s="6" t="n">
        <v>46300</v>
      </c>
    </row>
    <row r="48" ht="48" customHeight="1">
      <c r="A48" s="3" t="str">
        <v>Доминиканская Республика</v>
      </c>
      <c r="B48" s="3" t="str">
        <v>Доминиканская философская ассоциация</v>
      </c>
      <c r="C48" s="3" t="str">
        <v>Не удалось достоверно установить действующего первого руководителя.</v>
      </c>
      <c r="D48" s="3" t="str">
        <v>Региональная федерация указывает название и сокращение ADOFIL; сайт и современное руководство требуют проверки. Azur — совместный официальный орган национальных ассоциаций ACAFI.</v>
      </c>
      <c r="E4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48" s="7" t="str">
        <v>https://rediberoamericanafilosofia.com/acafi/</v>
      </c>
      <c r="G48" s="6" t="n">
        <v>46300</v>
      </c>
    </row>
    <row r="49" ht="48" customHeight="1">
      <c r="A49" s="3" t="str">
        <v>ДР Конго</v>
      </c>
      <c r="B49" s="3" t="str">
        <v>Философское общество Конго</v>
      </c>
      <c r="C49" s="3" t="str">
        <v>Не удалось достоверно установить действующего первого руководителя.
Современное национальное руководство и официальные публикации всего общества не подтверждены.</v>
      </c>
      <c r="D49" s="3" t="str">
        <v>Демократическая Республика Конго, не Республика Конго. Национальное общество и его школа в Кисангани подтверждены государственным агентством ACP. Dynamique critique издается школой / подразделением Кисангани; не приписан общенациональному обществу без уточнения.</v>
      </c>
      <c r="E4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49" s="7" t="str">
        <v>https://acp.cd/nation/publication-dun-nouveau-numero-de-la-revue-dynamique-critique-par-lecole-philosophique-de-kisangani/</v>
      </c>
      <c r="G49" s="6" t="n">
        <v>46300</v>
      </c>
    </row>
    <row r="50" ht="61" customHeight="1">
      <c r="A50" s="3" t="str">
        <v>Египет</v>
      </c>
      <c r="B50" s="3" t="str">
        <v>Египетское философское общество</v>
      </c>
      <c r="C50" s="3" t="str">
        <v>Собственный официальный сайт общества не обнаружен; сайт журнала требует проверки доступности.
Государственный источник 2025 называет президента; срок полномочий и новый протокол выборов не обнаружены.</v>
      </c>
      <c r="D50" s="3" t="str">
        <v>Руководитель: مصطفى النشار; Президент (رئيس الجمعية). Руководитель подтвержден Dar al-Ifta в 2025; дополнительно назван президентом в сообщении от 24.01.2026: Журнал публикуется на государственной платформе Egyptian Knowledge Bank; независимый مجلة الفكر المعاصر не приписан обществу. Дополнительные подтверждения приведены на листе «Источники».</v>
      </c>
      <c r="E50" s="3" t="str">
        <v>Повторно проверить доступ в обычном браузере; уточнить актуальный домен и официальные контакты.
Проверить издателя, учредителя и институциональное соглашение на официальной странице издания.</v>
      </c>
      <c r="F50" s="7" t="str">
        <v>https://www.dar-alifta.org/ar/articles/details/9775</v>
      </c>
      <c r="G50" s="6" t="n">
        <v>46300</v>
      </c>
    </row>
    <row r="51" ht="48" customHeight="1">
      <c r="A51" s="3" t="str">
        <v>Замбия</v>
      </c>
      <c r="B51" s="3" t="str">
        <v>Национальная организация не определена</v>
      </c>
      <c r="C51" s="3" t="str">
        <v>Не удалось достоверно определить национальное профессиональное объединение.</v>
      </c>
      <c r="D51" s="3" t="str">
        <v>Проверены международные реестры и поисковые запросы; надежное подтверждение национальной организации не найдено.</v>
      </c>
      <c r="E5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51" s="3" t="str">
        <v>Не обнаружен</v>
      </c>
      <c r="G51" s="6" t="n">
        <v>46300</v>
      </c>
    </row>
    <row r="52" ht="48" customHeight="1">
      <c r="A52" s="3" t="str">
        <v>Зимбабве</v>
      </c>
      <c r="B52" s="3" t="str">
        <v>Философское общество Зимбабве</v>
      </c>
      <c r="C52" s="3" t="str">
        <v>Не удалось достоверно установить действующего первого руководителя.
Устаревшее подтверждение руководства и деятельности; требуется проверить, действует ли общество.</v>
      </c>
      <c r="D52" s="3" t="str">
        <v>Существование подтверждено академическим издателем Vernon Press. В биографии Fainos Mangena назван временным президентом; исходные сведения относятся к публикациям 2017/2018, современная активность не подтверждена.</v>
      </c>
      <c r="E52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52" s="7" t="str">
        <v>https://www.vernonpress.com/index.php/author/12428</v>
      </c>
      <c r="G52" s="6" t="n">
        <v>46300</v>
      </c>
    </row>
    <row r="53" ht="61" customHeight="1">
      <c r="A53" s="3" t="str">
        <v>Израиль</v>
      </c>
      <c r="B53" s="3" t="str">
        <v>Новое израильское философское общество</v>
      </c>
      <c r="C53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53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5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53" s="7" t="str">
        <v>https://www.fisp.org/members/national-societies</v>
      </c>
      <c r="G53" s="6" t="n">
        <v>46300</v>
      </c>
    </row>
    <row r="54" ht="61" customHeight="1">
      <c r="A54" s="3" t="str">
        <v>Индия</v>
      </c>
      <c r="B54" s="3" t="str">
        <v>Всеиндийский философский совет</v>
      </c>
      <c r="C54" s="3" t="str">
        <v>Не удалось достоверно установить действующего первого руководителя.
В стране несколько национальных объединений; полномочия и различия требуют сопоставления.</v>
      </c>
      <c r="D54" s="3" t="str">
        <v>Отдельное общенациональное объединение от Indian Philosophical Congress; оба перечислены FISP. В национальных источниках используются индийское название и английское All India Philosophy Association. Актуальное управление не подтверждено.</v>
      </c>
      <c r="E54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</v>
      </c>
      <c r="F54" s="7" t="str">
        <v>https://www.fisp.org/members/national-societies</v>
      </c>
      <c r="G54" s="6" t="n">
        <v>46300</v>
      </c>
    </row>
    <row r="55" ht="61" customHeight="1">
      <c r="A55" s="3" t="str">
        <v>Индия</v>
      </c>
      <c r="B55" s="3" t="str">
        <v>Индийский философский конгресс</v>
      </c>
      <c r="C55" s="3" t="str">
        <v>Нужно уточнить полномочия и срок назначения временного председателя; на сайте присутствуют посторонние рекламные ссылки.
В стране несколько национальных объединений; полномочия и различия требуют сопоставления.</v>
      </c>
      <c r="D55" s="3" t="str">
        <v>Руководитель: S. K. Singh; Исполняющий обязанности председателя (Officiating Chairperson). Сайт с программой 101-й сессии 27–30.11.2026 указывает Officiating Chairperson S. K. Singh. General President Raghunath Ghosh — президент отдельной сессии, не постоянный первый руководитель. Отдельная организация от अखिल भारतीय दर्शन परिषद्.</v>
      </c>
      <c r="E55" s="3" t="str">
        <v>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</v>
      </c>
      <c r="F55" s="7" t="str">
        <v>https://indianphilosophicalcongress.in/</v>
      </c>
      <c r="G55" s="6" t="n">
        <v>46300</v>
      </c>
    </row>
    <row r="56" ht="48" customHeight="1">
      <c r="A56" s="3" t="str">
        <v>Индонезия</v>
      </c>
      <c r="B56" s="3" t="str">
        <v>Национальная организация не определена</v>
      </c>
      <c r="C56" s="3" t="str">
        <v>Не удалось достоверно определить национальное профессиональное объединение.</v>
      </c>
      <c r="D56" s="3" t="str">
        <v>Проверены международные реестры и поисковые запросы; надежное подтверждение национальной организации не найдено.</v>
      </c>
      <c r="E5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56" s="3" t="str">
        <v>Не обнаружен</v>
      </c>
      <c r="G56" s="6" t="n">
        <v>46300</v>
      </c>
    </row>
    <row r="57" ht="74" customHeight="1">
      <c r="A57" s="3" t="str">
        <v>Иордания</v>
      </c>
      <c r="B57" s="3" t="str">
        <v>Иорданское философское общество</v>
      </c>
      <c r="C57" s="3" t="str">
        <v>Не удалось достоверно установить действующего первого руководителя.
Расхождение руководителей между государственным источником 2025 и новостями сентября 2026; требуется официальное подтверждение выборов.</v>
      </c>
      <c r="D57" s="3" t="str">
        <v>Государственное агентство Petra подтверждает организацию национального философского сообщества и проведение арабских философских конгрессов. В 2025 президентом назван محمد الشياب; публикации сентября 2026 сообщают о رئيسة لينا جزراوي. Прямое актуальное подтверждение общества / государственного источника о новом составе не найдено. Не отождествлять с отдельной межарабской الجمعية الفلسفية العربية.</v>
      </c>
      <c r="E5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57" s="7" t="str">
        <v>https://www.ammonnews.net/article/1030112</v>
      </c>
      <c r="G57" s="6" t="n">
        <v>46300</v>
      </c>
    </row>
    <row r="58" ht="48" customHeight="1">
      <c r="A58" s="3" t="str">
        <v>Ирак</v>
      </c>
      <c r="B58" s="3" t="str">
        <v>Национальная организация не определена</v>
      </c>
      <c r="C58" s="3" t="str">
        <v>Не удалось достоверно определить национальное профессиональное объединение.</v>
      </c>
      <c r="D58" s="3" t="str">
        <v>Проверены международные реестры и поисковые запросы; надежное подтверждение национальной организации не найдено.</v>
      </c>
      <c r="E5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58" s="3" t="str">
        <v>Не обнаружен</v>
      </c>
      <c r="G58" s="6" t="n">
        <v>46300</v>
      </c>
    </row>
    <row r="59" ht="48" customHeight="1">
      <c r="A59" s="3" t="str">
        <v>Исландия</v>
      </c>
      <c r="B59" s="3" t="str">
        <v>Исландское общество любителей философии</v>
      </c>
      <c r="C59" s="3" t="str">
        <v>Руководитель указан на текущей официальной странице; дата окончания полномочий не опубликована.</v>
      </c>
      <c r="D59" s="3" t="str">
        <v>Руководитель: Valur Brynjar Antonsson; Председатель (Formaður). Принимает профессиональных философов и заинтересованную публику; национальный член FISP. Текущая страница правления не указывает срок полномочий.</v>
      </c>
      <c r="E59" s="3" t="str">
        <v>Уточнить вопрос по текущему уставу и официальным сообщениям организации.</v>
      </c>
      <c r="F59" s="7" t="str">
        <v>https://heimspeki.hi.is/fah-hugur/</v>
      </c>
      <c r="G59" s="6" t="n">
        <v>46300</v>
      </c>
    </row>
    <row r="60" ht="48" customHeight="1">
      <c r="A60" s="3" t="str">
        <v>Испания</v>
      </c>
      <c r="B60" s="3" t="str">
        <v>Академическое философское общество</v>
      </c>
      <c r="C60" s="3" t="str">
        <v>В стране несколько национальных объединений; полномочия и различия требуют сопоставления.</v>
      </c>
      <c r="D60" s="3" t="str">
        <v>Руководитель: Rafael Pérez Baquero; Президент (Presidente). Индивидуальное профессиональное философское общество; Red Española de Filosofía — отдельная федеративная сеть организаций и учреждений.</v>
      </c>
      <c r="E60" s="3" t="str">
        <v>Сопоставить уставы, состав членов, представительские функции и проведение национальных конгрессов.</v>
      </c>
      <c r="F60" s="7" t="str">
        <v>https://safil.es/standard-page-image</v>
      </c>
      <c r="G60" s="6" t="n">
        <v>46300</v>
      </c>
    </row>
    <row r="61" ht="61" customHeight="1">
      <c r="A61" s="3" t="str">
        <v>Испания</v>
      </c>
      <c r="B61" s="3" t="str">
        <v>Испанская философская сеть</v>
      </c>
      <c r="C61" s="3" t="str">
        <v>Не удалось достоверно установить действующего первого руководителя.
В стране несколько национальных объединений; полномочия и различия требуют сопоставления.</v>
      </c>
      <c r="D61" s="3" t="str">
        <v>Объединяет философские организации и учреждения; отличается от индивидуального профессионального Sociedad Académica de Filosofía. Текущий руководитель сети не подтвержден.</v>
      </c>
      <c r="E61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</v>
      </c>
      <c r="F61" s="7" t="str">
        <v>https://www.fisp.org/members/national-societies</v>
      </c>
      <c r="G61" s="6" t="n">
        <v>46300</v>
      </c>
    </row>
    <row r="62" ht="48" customHeight="1">
      <c r="A62" s="3" t="str">
        <v>Италия</v>
      </c>
      <c r="B62" s="3" t="str">
        <v>Итальянское философское общество</v>
      </c>
      <c r="C62" s="3" t="str">
        <v>В стране несколько национальных объединений; полномочия и различия требуют сопоставления.</v>
      </c>
      <c r="D62" s="3" t="str">
        <v>Руководитель: Clementina Cantillo; Президент (Presidente). Руководство подтверждено официальной программой марта 2026 года. Общенациональное объединение исследователей и преподавателей.</v>
      </c>
      <c r="E62" s="3" t="str">
        <v>Сопоставить уставы, состав членов, представительские функции и проведение национальных конгрессов.</v>
      </c>
      <c r="F62" s="7" t="str">
        <v>https://www.sfi.it/files/download/2026/Brochure%20Convegno%20SFI%20Perugia%20%281%29.pdf</v>
      </c>
      <c r="G62" s="6" t="n">
        <v>46300</v>
      </c>
    </row>
    <row r="63" ht="87" customHeight="1">
      <c r="A63" s="3" t="str">
        <v>Италия</v>
      </c>
      <c r="B63" s="3" t="str">
        <v>Национальная консульта по философии</v>
      </c>
      <c r="C63" s="3" t="str">
        <v>Не удалось достоверно установить действующего первого руководителя.
Сайт в режиме обслуживания; текущее руководство федерации не установлено.
В стране несколько национальных объединений; полномочия и различия требуют сопоставления.</v>
      </c>
      <c r="D63" s="3" t="str">
        <v>Федерация философских организаций, отдельная от SFI. На дату проверки сайт показывает режим технического обслуживания.</v>
      </c>
      <c r="E6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</v>
      </c>
      <c r="F63" s="7" t="str">
        <v>https://www.fisp.org/members/national-societies</v>
      </c>
      <c r="G63" s="6" t="n">
        <v>46300</v>
      </c>
    </row>
    <row r="64" ht="48" customHeight="1">
      <c r="A64" s="3" t="str">
        <v>Йемен</v>
      </c>
      <c r="B64" s="3" t="str">
        <v>Национальная организация не определена</v>
      </c>
      <c r="C64" s="3" t="str">
        <v>Не удалось достоверно определить национальное профессиональное объединение.</v>
      </c>
      <c r="D64" s="3" t="str">
        <v>Проверены международные реестры и поисковые запросы; надежное подтверждение национальной организации не найдено.</v>
      </c>
      <c r="E6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64" s="3" t="str">
        <v>Не обнаружен</v>
      </c>
      <c r="G64" s="6" t="n">
        <v>46300</v>
      </c>
    </row>
    <row r="65" ht="48" customHeight="1">
      <c r="A65" s="3" t="str">
        <v>Кабо-Верде</v>
      </c>
      <c r="B65" s="3" t="str">
        <v>Национальная организация не определена</v>
      </c>
      <c r="C65" s="3" t="str">
        <v>Не удалось достоверно определить национальное профессиональное объединение.</v>
      </c>
      <c r="D65" s="3" t="str">
        <v>Проверены международные реестры и поисковые запросы; надежное подтверждение национальной организации не найдено.</v>
      </c>
      <c r="E6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65" s="3" t="str">
        <v>Не обнаружен</v>
      </c>
      <c r="G65" s="6" t="n">
        <v>46300</v>
      </c>
    </row>
    <row r="66" ht="100" customHeight="1">
      <c r="A66" s="3" t="str">
        <v>Казахстан</v>
      </c>
      <c r="B66" s="3" t="str">
        <v>Казахстанский философский конгресс</v>
      </c>
      <c r="C66" s="3" t="str">
        <v>Не удалось достоверно установить действующего первого руководителя.
Актуальный президент не установлен; предварительные сведения противоречат найденным первичным источникам.
Журналы базового Института не приписаны Конгрессу без подтверждения институциональной связи.</v>
      </c>
      <c r="D66" s="3" t="str">
        <v>Самостоятельное общественное объединение, а не Институт. Отдельный сайт и официальные аккаунты Конгресса не подтверждены. Университетский источник использует Қазақстандық философиялық конгресс. Источники 2022 года называют президентом С.Т. Сейдуманова, биография ИФПР называет Аяжан Сағиқызы исполнительным директором. Журналы Al-Farabi и Адам әлемі издает ИФПР; непосредственная связь с Конгрессом как издателем не подтверждена: В программе ИФ РАН за апрель 2026 Аяжан Сағиқызы по-прежнему названа исполнительным директором; полномочия президента этой должностью не подтверждаются. Дополнительные подтверждения приведены на листе «Источники».</v>
      </c>
      <c r="E6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Проверить издателя, учредителя и институциональное соглашение на официальной странице издания.</v>
      </c>
      <c r="F66" s="7" t="str">
        <v>https://iphras.ru/page20845806.htm</v>
      </c>
      <c r="G66" s="6" t="n">
        <v>46300</v>
      </c>
    </row>
    <row r="67" ht="48" customHeight="1">
      <c r="A67" s="3" t="str">
        <v>Камбоджа</v>
      </c>
      <c r="B67" s="3" t="str">
        <v>Национальная организация не определена</v>
      </c>
      <c r="C67" s="3" t="str">
        <v>Не удалось достоверно определить национальное профессиональное объединение.</v>
      </c>
      <c r="D67" s="3" t="str">
        <v>Проверены международные реестры и поисковые запросы; надежное подтверждение национальной организации не найдено.</v>
      </c>
      <c r="E6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67" s="3" t="str">
        <v>Не обнаружен</v>
      </c>
      <c r="G67" s="6" t="n">
        <v>46300</v>
      </c>
    </row>
    <row r="68" ht="48" customHeight="1">
      <c r="A68" s="3" t="str">
        <v>Камерун</v>
      </c>
      <c r="B68" s="3" t="str">
        <v>Камерунское общество философских исследований</v>
      </c>
      <c r="C68" s="3" t="str">
        <v>Не удалось достоверно установить действующего первого руководителя.
Необходимо уточнить национальный членский охват, руководство и тождество организации, указанной ASPLF.</v>
      </c>
      <c r="D68" s="3" t="str">
        <v>SCEPHI подтверждено академическим издателем в биографии основателя Gervais Noël Mbamfon. Основатель не автоматически признан действующим президентом. Тождество с Société Camerounaise de Philosophie из списка ASPLF не установлено.</v>
      </c>
      <c r="E6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68" s="7" t="str">
        <v>https://www.editions-harmattan.fr/catalogue/livre/la-reinvention-de-luniversel/81915</v>
      </c>
      <c r="G68" s="6" t="n">
        <v>46300</v>
      </c>
    </row>
    <row r="69" ht="48" customHeight="1">
      <c r="A69" s="3" t="str">
        <v>Катар</v>
      </c>
      <c r="B69" s="3" t="str">
        <v>Национальная организация не определена</v>
      </c>
      <c r="C69" s="3" t="str">
        <v>Не удалось достоверно определить национальное профессиональное объединение.</v>
      </c>
      <c r="D69" s="3" t="str">
        <v>Проверены международные реестры и поисковые запросы; надежное подтверждение национальной организации не найдено.</v>
      </c>
      <c r="E6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69" s="3" t="str">
        <v>Не обнаружен</v>
      </c>
      <c r="G69" s="6" t="n">
        <v>46300</v>
      </c>
    </row>
    <row r="70" ht="48" customHeight="1">
      <c r="A70" s="3" t="str">
        <v>Кения</v>
      </c>
      <c r="B70" s="3" t="str">
        <v>Философская ассоциация Кении</v>
      </c>
      <c r="C70" s="3" t="str">
        <v>Не удалось достоверно установить действующего первого руководителя.</v>
      </c>
      <c r="D70" s="3" t="str">
        <v>Самостоятельная ассоциация; журнал и организация подтверждены официальным сайтом Университета Найроби. Страница кафедры не указана как собственный сайт ассоциации.</v>
      </c>
      <c r="E7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70" s="7" t="str">
        <v>https://philosophy.uonbi.ac.ke/node/165</v>
      </c>
      <c r="G70" s="6" t="n">
        <v>46300</v>
      </c>
    </row>
    <row r="71" ht="48" customHeight="1">
      <c r="A71" s="3" t="str">
        <v>Кипр</v>
      </c>
      <c r="B71" s="3" t="str">
        <v>Национальная организация не определена</v>
      </c>
      <c r="C71" s="3" t="str">
        <v>Не удалось достоверно определить национальное профессиональное объединение.</v>
      </c>
      <c r="D71" s="3" t="str">
        <v>Проверены международные реестры и поисковые запросы; надежное подтверждение национальной организации не найдено.</v>
      </c>
      <c r="E7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1" s="3" t="str">
        <v>Не обнаружен</v>
      </c>
      <c r="G71" s="6" t="n">
        <v>46300</v>
      </c>
    </row>
    <row r="72" ht="48" customHeight="1">
      <c r="A72" s="3" t="str">
        <v>Кирибати</v>
      </c>
      <c r="B72" s="3" t="str">
        <v>Национальная организация не определена</v>
      </c>
      <c r="C72" s="3" t="str">
        <v>Не удалось достоверно определить национальное профессиональное объединение.</v>
      </c>
      <c r="D72" s="3" t="str">
        <v>Проверены международные реестры и поисковые запросы; надежное подтверждение национальной организации не найдено.</v>
      </c>
      <c r="E7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2" s="3" t="str">
        <v>Не обнаружен</v>
      </c>
      <c r="G72" s="6" t="n">
        <v>46300</v>
      </c>
    </row>
    <row r="73" ht="48" customHeight="1">
      <c r="A73" s="3" t="str">
        <v>Китай</v>
      </c>
      <c r="B73" s="3" t="str">
        <v>Национальная организация не определена</v>
      </c>
      <c r="C73" s="3" t="str">
        <v>Не удалось достоверно определить национальное профессиональное объединение.</v>
      </c>
      <c r="D73" s="3" t="str">
        <v>Проверены международные реестры и поисковые запросы; надежное подтверждение национальной организации не найдено.</v>
      </c>
      <c r="E7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3" s="3" t="str">
        <v>Не обнаружен</v>
      </c>
      <c r="G73" s="6" t="n">
        <v>46300</v>
      </c>
    </row>
    <row r="74" ht="48" customHeight="1">
      <c r="A74" s="3" t="str">
        <v>Коморы</v>
      </c>
      <c r="B74" s="3" t="str">
        <v>Национальная организация не определена</v>
      </c>
      <c r="C74" s="3" t="str">
        <v>Не удалось достоверно определить национальное профессиональное объединение.</v>
      </c>
      <c r="D74" s="3" t="str">
        <v>Проверены международные реестры и поисковые запросы; надежное подтверждение национальной организации не найдено.</v>
      </c>
      <c r="E7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4" s="3" t="str">
        <v>Не обнаружен</v>
      </c>
      <c r="G74" s="6" t="n">
        <v>46300</v>
      </c>
    </row>
    <row r="75" ht="48" customHeight="1">
      <c r="A75" s="3" t="str">
        <v>Конго</v>
      </c>
      <c r="B75" s="3" t="str">
        <v>Конголезское философское общество «София»</v>
      </c>
      <c r="C75" s="3" t="str">
        <v>Не удалось достоверно установить действующего первого руководителя.</v>
      </c>
      <c r="D75" s="3" t="str">
        <v>Республика Конго (Браззавиль), не ДР Конго. Национальное общество подтверждено ASPLF; современное руководство не установлено.</v>
      </c>
      <c r="E7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75" s="7" t="str">
        <v>https://asplf.org/liste-des-societes/</v>
      </c>
      <c r="G75" s="6" t="n">
        <v>46300</v>
      </c>
    </row>
    <row r="76" ht="48" customHeight="1">
      <c r="A76" s="3" t="str">
        <v>Косово</v>
      </c>
      <c r="B76" s="3" t="str">
        <v>Ассоциация философов Косово</v>
      </c>
      <c r="C76" s="3" t="str">
        <v>Не удалось достоверно установить действующего первого руководителя.
Не подтверждено сохранение полномочий руководителя после 2024.</v>
      </c>
      <c r="D76" s="3" t="str">
        <v>Дополнительный охват вне базового списка 195 государств — членов и наблюдателей ООН. В первичном источнике ноября 2024 председатель Ridvan Emini; подтверждение на 2026 не найдено.</v>
      </c>
      <c r="E7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76" s="7" t="str">
        <v>https://uni-pr.edu/lajme/kujtohet-kanti-ne-kohen-moderne-qe-po-i-le-pak-vend-filozofise</v>
      </c>
      <c r="G76" s="6" t="n">
        <v>46300</v>
      </c>
    </row>
    <row r="77" ht="61" customHeight="1">
      <c r="A77" s="3" t="str">
        <v>Кот-д’Ивуар</v>
      </c>
      <c r="B77" s="3" t="str">
        <v>Ивуарийская ассоциация преподавателей философии</v>
      </c>
      <c r="C77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77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7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77" s="7" t="str">
        <v>https://www.fisp.org/members/national-societies</v>
      </c>
      <c r="G77" s="6" t="n">
        <v>46300</v>
      </c>
    </row>
    <row r="78" ht="48" customHeight="1">
      <c r="A78" s="3" t="str">
        <v>Куба</v>
      </c>
      <c r="B78" s="3" t="str">
        <v>Кубинское общество философских исследований</v>
      </c>
      <c r="C78" s="3" t="str">
        <v>Не удалось достоверно установить действующего первого руководителя.</v>
      </c>
      <c r="D78" s="3" t="str">
        <v>Azur — совместный официальный орган национальных ассоциаций ACAFI.</v>
      </c>
      <c r="E7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78" s="7" t="str">
        <v>https://www.fisp.org/members/national-societies</v>
      </c>
      <c r="G78" s="6" t="n">
        <v>46300</v>
      </c>
    </row>
    <row r="79" ht="48" customHeight="1">
      <c r="A79" s="3" t="str">
        <v>Кувейт</v>
      </c>
      <c r="B79" s="3" t="str">
        <v>Национальная организация не определена</v>
      </c>
      <c r="C79" s="3" t="str">
        <v>Не удалось достоверно определить национальное профессиональное объединение.</v>
      </c>
      <c r="D79" s="3" t="str">
        <v>Проверены международные реестры и поисковые запросы; надежное подтверждение национальной организации не найдено.</v>
      </c>
      <c r="E7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79" s="3" t="str">
        <v>Не обнаружен</v>
      </c>
      <c r="G79" s="6" t="n">
        <v>46300</v>
      </c>
    </row>
    <row r="80" ht="48" customHeight="1">
      <c r="A80" s="3" t="str">
        <v>Кыргызстан</v>
      </c>
      <c r="B80" s="3" t="str">
        <v>Национальная организация не определена</v>
      </c>
      <c r="C80" s="3" t="str">
        <v>Не удалось достоверно определить национальное профессиональное объединение.</v>
      </c>
      <c r="D80" s="3" t="str">
        <v>Проверены международные реестры и поисковые запросы; надежное подтверждение национальной организации не найдено.</v>
      </c>
      <c r="E8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0" s="3" t="str">
        <v>Не обнаружен</v>
      </c>
      <c r="G80" s="6" t="n">
        <v>46300</v>
      </c>
    </row>
    <row r="81" ht="48" customHeight="1">
      <c r="A81" s="3" t="str">
        <v>Лаос</v>
      </c>
      <c r="B81" s="3" t="str">
        <v>Национальная организация не определена</v>
      </c>
      <c r="C81" s="3" t="str">
        <v>Не удалось достоверно определить национальное профессиональное объединение.</v>
      </c>
      <c r="D81" s="3" t="str">
        <v>Проверены международные реестры и поисковые запросы; надежное подтверждение национальной организации не найдено.</v>
      </c>
      <c r="E8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1" s="3" t="str">
        <v>Не обнаружен</v>
      </c>
      <c r="G81" s="6" t="n">
        <v>46300</v>
      </c>
    </row>
    <row r="82" ht="48" customHeight="1">
      <c r="A82" s="3" t="str">
        <v>Латвия</v>
      </c>
      <c r="B82" s="3" t="str">
        <v>Национальная организация не определена</v>
      </c>
      <c r="C82" s="3" t="str">
        <v>Не удалось достоверно определить национальное профессиональное объединение.</v>
      </c>
      <c r="D82" s="3" t="str">
        <v>Проверены международные реестры и поисковые запросы; надежное подтверждение национальной организации не найдено.</v>
      </c>
      <c r="E8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2" s="3" t="str">
        <v>Не обнаружен</v>
      </c>
      <c r="G82" s="6" t="n">
        <v>46300</v>
      </c>
    </row>
    <row r="83" ht="48" customHeight="1">
      <c r="A83" s="3" t="str">
        <v>Лесото</v>
      </c>
      <c r="B83" s="3" t="str">
        <v>Национальная организация не определена</v>
      </c>
      <c r="C83" s="3" t="str">
        <v>Не удалось достоверно определить национальное профессиональное объединение.</v>
      </c>
      <c r="D83" s="3" t="str">
        <v>Проверены международные реестры и поисковые запросы; надежное подтверждение национальной организации не найдено.</v>
      </c>
      <c r="E8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3" s="3" t="str">
        <v>Не обнаружен</v>
      </c>
      <c r="G83" s="6" t="n">
        <v>46300</v>
      </c>
    </row>
    <row r="84" ht="48" customHeight="1">
      <c r="A84" s="3" t="str">
        <v>Либерия</v>
      </c>
      <c r="B84" s="3" t="str">
        <v>Национальная организация не определена</v>
      </c>
      <c r="C84" s="3" t="str">
        <v>Не удалось достоверно определить национальное профессиональное объединение.</v>
      </c>
      <c r="D84" s="3" t="str">
        <v>Проверены международные реестры и поисковые запросы; надежное подтверждение национальной организации не найдено.</v>
      </c>
      <c r="E8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4" s="3" t="str">
        <v>Не обнаружен</v>
      </c>
      <c r="G84" s="6" t="n">
        <v>46300</v>
      </c>
    </row>
    <row r="85" ht="87" customHeight="1">
      <c r="A85" s="3" t="str">
        <v>Ливан</v>
      </c>
      <c r="B85" s="3" t="str">
        <v>Ливанское философское общество</v>
      </c>
      <c r="C85" s="3" t="str">
        <v>Не удалось достоверно установить действующего первого руководителя.
Нет актуального руководства; доступ к странице университета нестабилен; необходимо уточнить национальный охват и современную активность.</v>
      </c>
      <c r="D85" s="3" t="str">
        <v>Университет подтверждает существование отдельного общества и его правления; это общественное объединение, а не кафедра. В некрологе университета 2020 названы создание в 2012 и общая философская просветительская цель. Актуальное управление, самостоятельный сайт и юридический статус требуют уточнения.</v>
      </c>
      <c r="E8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
Найти свежие мероприятия, отчет или официальный ответ о продолжении деятельности.</v>
      </c>
      <c r="F85" s="7" t="str">
        <v>https://ul.edu.lb/ar/teachers/%D8%B3%D8%B9%D8%A7%D8%AF-%D9%85%D8%AD%D9%85%D8%AF-%D8%AA%D9%88%D9%81%D9%8A%D9%82-%D8%A7%D9%84%D8%AD%D9%83%D9%8A%D9%85/2869</v>
      </c>
      <c r="G85" s="6" t="n">
        <v>46300</v>
      </c>
    </row>
    <row r="86" ht="61" customHeight="1">
      <c r="A86" s="3" t="str">
        <v>Ливия</v>
      </c>
      <c r="B86" s="3" t="str">
        <v>Ливийское философское общество</v>
      </c>
      <c r="C86" s="3" t="str">
        <v>Не удалось достоверно установить действующего первого руководителя.
Последний первичный источник о руководстве относится к 2022/2023; текущая активность не подтверждена.</v>
      </c>
      <c r="D86" s="3" t="str">
        <v>Существование подтверждается академической биографией в Ливийском институте перспективных исследований. В источнике 2022/2023 رئيس الجمعية — نجيب المحجوب الحصادي; действующее руководство и активность на 2026 не установлены.</v>
      </c>
      <c r="E8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86" s="7" t="str">
        <v>https://liasinstitute.com/ar/najib-elhassadi/</v>
      </c>
      <c r="G86" s="6" t="n">
        <v>46300</v>
      </c>
    </row>
    <row r="87" ht="48" customHeight="1">
      <c r="A87" s="3" t="str">
        <v>Литва</v>
      </c>
      <c r="B87" s="3" t="str">
        <v>Общество философов Литвы</v>
      </c>
      <c r="C87" s="3" t="str">
        <v>Не удалось достоверно установить действующего первого руководителя.</v>
      </c>
      <c r="D87" s="3" t="str">
        <v>Национальная ежегодная конференция 2026 года совместно с Литовским институтом исследований культуры. Самостоятельное общество; сайт и руководство требуют дополнительной проверки.</v>
      </c>
      <c r="E8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87" s="7" t="str">
        <v>https://www.lkti.lt/naujienos/kasmetine-lietuvos-filosofu-draugijos-konferencija-2026/</v>
      </c>
      <c r="G87" s="6" t="n">
        <v>46300</v>
      </c>
    </row>
    <row r="88" ht="48" customHeight="1">
      <c r="A88" s="3" t="str">
        <v>Лихтенштейн</v>
      </c>
      <c r="B88" s="3" t="str">
        <v>Национальная организация не определена</v>
      </c>
      <c r="C88" s="3" t="str">
        <v>Не удалось достоверно определить национальное профессиональное объединение.</v>
      </c>
      <c r="D88" s="3" t="str">
        <v>Проверены международные реестры и поисковые запросы; надежное подтверждение национальной организации не найдено.</v>
      </c>
      <c r="E8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88" s="3" t="str">
        <v>Не обнаружен</v>
      </c>
      <c r="G88" s="6" t="n">
        <v>46300</v>
      </c>
    </row>
    <row r="89" ht="61" customHeight="1">
      <c r="A89" s="3" t="str">
        <v>Люксембург</v>
      </c>
      <c r="B89" s="3" t="str">
        <v>Философский кружок Люксембурга</v>
      </c>
      <c r="C89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89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8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89" s="7" t="str">
        <v>https://www.fisp.org/members/national-societies</v>
      </c>
      <c r="G89" s="6" t="n">
        <v>46300</v>
      </c>
    </row>
    <row r="90" ht="48" customHeight="1">
      <c r="A90" s="3" t="str">
        <v>Маврикий</v>
      </c>
      <c r="B90" s="3" t="str">
        <v>Национальная организация не определена</v>
      </c>
      <c r="C90" s="3" t="str">
        <v>Не удалось достоверно определить национальное профессиональное объединение.</v>
      </c>
      <c r="D90" s="3" t="str">
        <v>Проверены международные реестры и поисковые запросы; надежное подтверждение национальной организации не найдено.</v>
      </c>
      <c r="E9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0" s="3" t="str">
        <v>Не обнаружен</v>
      </c>
      <c r="G90" s="6" t="n">
        <v>46300</v>
      </c>
    </row>
    <row r="91" ht="48" customHeight="1">
      <c r="A91" s="3" t="str">
        <v>Мавритания</v>
      </c>
      <c r="B91" s="3" t="str">
        <v>Национальная организация не определена</v>
      </c>
      <c r="C91" s="3" t="str">
        <v>Не удалось достоверно определить национальное профессиональное объединение.</v>
      </c>
      <c r="D91" s="3" t="str">
        <v>Проверены международные реестры и поисковые запросы; надежное подтверждение национальной организации не найдено.</v>
      </c>
      <c r="E9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1" s="3" t="str">
        <v>Не обнаружен</v>
      </c>
      <c r="G91" s="6" t="n">
        <v>46300</v>
      </c>
    </row>
    <row r="92" ht="48" customHeight="1">
      <c r="A92" s="3" t="str">
        <v>Мадагаскар</v>
      </c>
      <c r="B92" s="3" t="str">
        <v>Национальная организация не определена</v>
      </c>
      <c r="C92" s="3" t="str">
        <v>Не удалось достоверно определить национальное профессиональное объединение.</v>
      </c>
      <c r="D92" s="3" t="str">
        <v>Проверены международные реестры и поисковые запросы; надежное подтверждение национальной организации не найдено.</v>
      </c>
      <c r="E9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2" s="3" t="str">
        <v>Не обнаружен</v>
      </c>
      <c r="G92" s="6" t="n">
        <v>46300</v>
      </c>
    </row>
    <row r="93" ht="48" customHeight="1">
      <c r="A93" s="3" t="str">
        <v>Малави</v>
      </c>
      <c r="B93" s="3" t="str">
        <v>Национальная организация не определена</v>
      </c>
      <c r="C93" s="3" t="str">
        <v>Не удалось достоверно определить национальное профессиональное объединение.</v>
      </c>
      <c r="D93" s="3" t="str">
        <v>Проверены международные реестры и поисковые запросы; надежное подтверждение национальной организации не найдено.</v>
      </c>
      <c r="E9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3" s="3" t="str">
        <v>Не обнаружен</v>
      </c>
      <c r="G93" s="6" t="n">
        <v>46300</v>
      </c>
    </row>
    <row r="94" ht="48" customHeight="1">
      <c r="A94" s="3" t="str">
        <v>Малайзия</v>
      </c>
      <c r="B94" s="3" t="str">
        <v>Малайзийская ассоциация философского образования и мышления</v>
      </c>
      <c r="C94" s="3" t="str">
        <v>Не удалось достоверно установить действующего первого руководителя.
Официальный состав руководства указан за 2023–2024 годы; полномочия на 2026 год не подтверждены.</v>
      </c>
      <c r="D94" s="3" t="str">
        <v>FISP указывает прежний WordPress; найден собственный домен ppfpm.org. Страница руководства относится к 2023–2024 годам; Mohammad Alinor Abdul Kadir не перенесен как действующий председатель.</v>
      </c>
      <c r="E94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94" s="7" t="str">
        <v>https://ppfpm.org/tentang-kami/</v>
      </c>
      <c r="G94" s="6" t="n">
        <v>46300</v>
      </c>
    </row>
    <row r="95" ht="48" customHeight="1">
      <c r="A95" s="3" t="str">
        <v>Мали</v>
      </c>
      <c r="B95" s="3" t="str">
        <v>Национальная организация не определена</v>
      </c>
      <c r="C95" s="3" t="str">
        <v>Не удалось достоверно определить национальное профессиональное объединение.</v>
      </c>
      <c r="D95" s="3" t="str">
        <v>Проверены международные реестры и поисковые запросы; надежное подтверждение национальной организации не найдено.</v>
      </c>
      <c r="E9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5" s="3" t="str">
        <v>Не обнаружен</v>
      </c>
      <c r="G95" s="6" t="n">
        <v>46300</v>
      </c>
    </row>
    <row r="96" ht="48" customHeight="1">
      <c r="A96" s="3" t="str">
        <v>Мальдивы</v>
      </c>
      <c r="B96" s="3" t="str">
        <v>Национальная организация не определена</v>
      </c>
      <c r="C96" s="3" t="str">
        <v>Не удалось достоверно определить национальное профессиональное объединение.</v>
      </c>
      <c r="D96" s="3" t="str">
        <v>Проверены международные реестры и поисковые запросы; надежное подтверждение национальной организации не найдено.</v>
      </c>
      <c r="E9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6" s="3" t="str">
        <v>Не обнаружен</v>
      </c>
      <c r="G96" s="6" t="n">
        <v>46300</v>
      </c>
    </row>
    <row r="97" ht="87" customHeight="1">
      <c r="A97" s="3" t="str">
        <v>Мальта</v>
      </c>
      <c r="B97" s="3" t="str">
        <v>Фонд распространения философии</v>
      </c>
      <c r="C97" s="3" t="str">
        <v>Следует уточнить профессиональную представительную функцию открытого сообщества; национальное членство FISP подтверждено.
Старая официальная ссылка X / Twitter возвращает 404; актуальный аккаунт не обнаружен.
Руководитель указан на текущей официальной странице; дата окончания полномочий не опубликована.</v>
      </c>
      <c r="D97" s="3" t="str">
        <v>Руководитель: Max Cassar; Председатель (Chairperson). Исключение:открытое философское сообщество академических философов и любителей, член FISP; выполняет общенациональную функцию, но не является исключительно профессиональной ассоциацией. Текущая страница About прямо называет действующий комитет. Ссылка X / Twitter, опубликованная обществом, при проверке вернула HTTP 404; действующий аккаунт не подтвержден.</v>
      </c>
      <c r="E97" s="3" t="str">
        <v>Уточнить вопрос по текущему уставу и официальным сообщениям организации.</v>
      </c>
      <c r="F97" s="7" t="str">
        <v>https://www.philosophysharing.org/about-2</v>
      </c>
      <c r="G97" s="6" t="n">
        <v>46300</v>
      </c>
    </row>
    <row r="98" ht="61" customHeight="1">
      <c r="A98" s="3" t="str">
        <v>Марокко</v>
      </c>
      <c r="B98" s="3" t="str">
        <v>Марокканская философская ассоциация</v>
      </c>
      <c r="C98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98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9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98" s="7" t="str">
        <v>https://www.fisp.org/members/national-societies</v>
      </c>
      <c r="G98" s="6" t="n">
        <v>46300</v>
      </c>
    </row>
    <row r="99" ht="48" customHeight="1">
      <c r="A99" s="3" t="str">
        <v>Маршалловы Острова</v>
      </c>
      <c r="B99" s="3" t="str">
        <v>Национальная организация не определена</v>
      </c>
      <c r="C99" s="3" t="str">
        <v>Не удалось достоверно определить национальное профессиональное объединение.</v>
      </c>
      <c r="D99" s="3" t="str">
        <v>Проверены международные реестры и поисковые запросы; надежное подтверждение национальной организации не найдено.</v>
      </c>
      <c r="E9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99" s="3" t="str">
        <v>Не обнаружен</v>
      </c>
      <c r="G99" s="6" t="n">
        <v>46300</v>
      </c>
    </row>
    <row r="100" ht="113" customHeight="1">
      <c r="A100" s="3" t="str">
        <v>Мексика</v>
      </c>
      <c r="B100" s="3" t="str">
        <v>Мексиканское философское общество</v>
      </c>
      <c r="C100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
В стране несколько национальных объединений; полномочия и различия требуют сопоставления.
Официальный сайт не открылся при автоматической проверке: При проверке не открылся; HTTP 502.</v>
      </c>
      <c r="D100" s="3" t="str">
        <v>Отдельное общество от Asociación Filosófica de México; оба перечислены FISP. Собственный сайт общества не загрузился, современная деятельность и структура требуют уточнения.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 Доступ к официальному сайту: При проверке не открылся; HTTP 502.</v>
      </c>
      <c r="E10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
Найти свежие мероприятия, отчет или официальный ответ о продолжении деятельности.</v>
      </c>
      <c r="F100" s="7" t="str">
        <v>https://www.fisp.org/members/national-societies</v>
      </c>
      <c r="G100" s="6" t="n">
        <v>46300</v>
      </c>
    </row>
    <row r="101" ht="48" customHeight="1">
      <c r="A101" s="3" t="str">
        <v>Мексика</v>
      </c>
      <c r="B101" s="3" t="str">
        <v>Философская ассоциация Мексики</v>
      </c>
      <c r="C101" s="3" t="str">
        <v>В стране несколько национальных объединений; полномочия и различия требуют сопоставления.</v>
      </c>
      <c r="D101" s="3" t="str">
        <v>Руководитель: Luis Ramos-Alarcón Marcín; Президент (Presidente). Состав правления на 2026–2028 годы, избран 20.03.2026. Отдельно проверено Мексиканское философское общество, также указанное FISP.</v>
      </c>
      <c r="E101" s="3" t="str">
        <v>Сопоставить уставы, состав членов, представительские функции и проведение национальных конгрессов.</v>
      </c>
      <c r="F101" s="7" t="str">
        <v>https://asociacionfilosoficamx.com/consejo-directivo-2026-2028/</v>
      </c>
      <c r="G101" s="6" t="n">
        <v>46300</v>
      </c>
    </row>
    <row r="102" ht="48" customHeight="1">
      <c r="A102" s="3" t="str">
        <v>Мозамбик</v>
      </c>
      <c r="B102" s="3" t="str">
        <v>Национальная организация не определена</v>
      </c>
      <c r="C102" s="3" t="str">
        <v>Не удалось достоверно определить национальное профессиональное объединение.</v>
      </c>
      <c r="D102" s="3" t="str">
        <v>Проверены международные реестры и поисковые запросы; надежное подтверждение национальной организации не найдено.</v>
      </c>
      <c r="E10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02" s="3" t="str">
        <v>Не обнаружен</v>
      </c>
      <c r="G102" s="6" t="n">
        <v>46300</v>
      </c>
    </row>
    <row r="103" ht="48" customHeight="1">
      <c r="A103" s="3" t="str">
        <v>Молдова</v>
      </c>
      <c r="B103" s="3" t="str">
        <v>Ассоциация философии Республики Молдова</v>
      </c>
      <c r="C103" s="3" t="str">
        <v>Не удалось достоверно установить действующего первого руководителя.
Руководство и современная деятельность не установлены по свежим первичным источникам.</v>
      </c>
      <c r="D103" s="3" t="str">
        <v>До 2010 года — Asociaţia Filosofilor din Republica Moldova. Существование подтверждено национальным университетом; официальный блог содержит преимущественно старые материалы.</v>
      </c>
      <c r="E10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03" s="7" t="str">
        <v>https://msuir.usm.md/server/api/core/bitstreams/a3729c09-7480-44bf-ad49-1e6b87ae0a90/content</v>
      </c>
      <c r="G103" s="6" t="n">
        <v>46300</v>
      </c>
    </row>
    <row r="104" ht="48" customHeight="1">
      <c r="A104" s="3" t="str">
        <v>Монако</v>
      </c>
      <c r="B104" s="3" t="str">
        <v>Национальная организация не определена</v>
      </c>
      <c r="C104" s="3" t="str">
        <v>Не удалось достоверно определить национальное профессиональное объединение.</v>
      </c>
      <c r="D104" s="3" t="str">
        <v>Проверены международные реестры и поисковые запросы; надежное подтверждение национальной организации не найдено.</v>
      </c>
      <c r="E10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04" s="3" t="str">
        <v>Не обнаружен</v>
      </c>
      <c r="G104" s="6" t="n">
        <v>46300</v>
      </c>
    </row>
    <row r="105" ht="61" customHeight="1">
      <c r="A105" s="3" t="str">
        <v>Монголия</v>
      </c>
      <c r="B105" s="3" t="str">
        <v>Монгольская философская ассоциация</v>
      </c>
      <c r="C105" s="3" t="str">
        <v>Не удалось достоверно установить действующего первого руководителя.
Официальный сайт не открылся при автоматической проверке: При проверке не открылся; HTTP 502.</v>
      </c>
      <c r="D105" s="3" t="str">
        <v>Дополнительные замечания не обнаружены. Доступ к официальному сайту: При проверке не открылся; HTTP 502.</v>
      </c>
      <c r="E10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05" s="7" t="str">
        <v>https://www.fisp.org/members/national-societies</v>
      </c>
      <c r="G105" s="6" t="n">
        <v>46300</v>
      </c>
    </row>
    <row r="106" ht="48" customHeight="1">
      <c r="A106" s="3" t="str">
        <v>Мьянма</v>
      </c>
      <c r="B106" s="3" t="str">
        <v>Национальная организация не определена</v>
      </c>
      <c r="C106" s="3" t="str">
        <v>Не удалось достоверно определить национальное профессиональное объединение.</v>
      </c>
      <c r="D106" s="3" t="str">
        <v>Проверены международные реестры и поисковые запросы; надежное подтверждение национальной организации не найдено.</v>
      </c>
      <c r="E10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06" s="3" t="str">
        <v>Не обнаружен</v>
      </c>
      <c r="G106" s="6" t="n">
        <v>46300</v>
      </c>
    </row>
    <row r="107" ht="48" customHeight="1">
      <c r="A107" s="3" t="str">
        <v>Намибия</v>
      </c>
      <c r="B107" s="3" t="str">
        <v>Национальная организация не определена</v>
      </c>
      <c r="C107" s="3" t="str">
        <v>Не удалось достоверно определить национальное профессиональное объединение.</v>
      </c>
      <c r="D107" s="3" t="str">
        <v>Проверены международные реестры и поисковые запросы; надежное подтверждение национальной организации не найдено.</v>
      </c>
      <c r="E10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07" s="3" t="str">
        <v>Не обнаружен</v>
      </c>
      <c r="G107" s="6" t="n">
        <v>46300</v>
      </c>
    </row>
    <row r="108" ht="48" customHeight="1">
      <c r="A108" s="3" t="str">
        <v>Науру</v>
      </c>
      <c r="B108" s="3" t="str">
        <v>Национальная организация не определена</v>
      </c>
      <c r="C108" s="3" t="str">
        <v>Не удалось достоверно определить национальное профессиональное объединение.</v>
      </c>
      <c r="D108" s="3" t="str">
        <v>Проверены международные реестры и поисковые запросы; надежное подтверждение национальной организации не найдено.</v>
      </c>
      <c r="E10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08" s="3" t="str">
        <v>Не обнаружен</v>
      </c>
      <c r="G108" s="6" t="n">
        <v>46300</v>
      </c>
    </row>
    <row r="109" ht="61" customHeight="1">
      <c r="A109" s="3" t="str">
        <v>Непал</v>
      </c>
      <c r="B109" s="3" t="str">
        <v>Общество философии и литературных исследований</v>
      </c>
      <c r="C109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109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0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109" s="7" t="str">
        <v>https://www.fisp.org/members/national-societies</v>
      </c>
      <c r="G109" s="6" t="n">
        <v>46300</v>
      </c>
    </row>
    <row r="110" ht="48" customHeight="1">
      <c r="A110" s="3" t="str">
        <v>Нигер</v>
      </c>
      <c r="B110" s="3" t="str">
        <v>Национальная организация не определена</v>
      </c>
      <c r="C110" s="3" t="str">
        <v>Не удалось достоверно определить национальное профессиональное объединение.</v>
      </c>
      <c r="D110" s="3" t="str">
        <v>Проверены международные реестры и поисковые запросы; надежное подтверждение национальной организации не найдено.</v>
      </c>
      <c r="E11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0" s="3" t="str">
        <v>Не обнаружен</v>
      </c>
      <c r="G110" s="6" t="n">
        <v>46300</v>
      </c>
    </row>
    <row r="111" ht="126" customHeight="1">
      <c r="A111" s="3" t="str">
        <v>Нигерия</v>
      </c>
      <c r="B111" s="3" t="str">
        <v>Ассоциация профессиональных философов Нигерии</v>
      </c>
      <c r="C111" s="3" t="str">
        <v>Не удалось достоверно установить действующего первого руководителя.
Требуется актуальная отдельная ссылка на журнал; старый сайт издателя перенаправляет в общий каталог.
В стране несколько национальных объединений; полномочия и различия требуют сопоставления.
Официальный сайт не открылся при автоматической проверке: При проверке не открылся; HTTP 502.
Институциональная связь журнала установлена, но отдельная актуальная страница журнала не найдена.</v>
      </c>
      <c r="D111" s="3" t="str">
        <v>Университет Olabisi Onabanjo прямо подтверждает издание Nigerian Journal of Philosophical Studies ассоциацией APPON. Старый маршрут ACJOL перенаправляет на новый общий каталог; актуальная отдельная страница журнала не обнаружена. Доступ к официальному сайту: При проверке не открылся; HTTP 502.</v>
      </c>
      <c r="E111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
Проверить издателя, учредителя и институциональное соглашение на официальной странице издания.</v>
      </c>
      <c r="F111" s="7" t="str">
        <v>https://www.fisp.org/members/national-societies</v>
      </c>
      <c r="G111" s="6" t="n">
        <v>46300</v>
      </c>
    </row>
    <row r="112" ht="74" customHeight="1">
      <c r="A112" s="3" t="str">
        <v>Нигерия</v>
      </c>
      <c r="B112" s="3" t="str">
        <v>Ассоциация философов Нигерии</v>
      </c>
      <c r="C112" s="3" t="str">
        <v>Несколько национальных ассоциаций; официальный сайт PAN не загрузился.
В стране несколько национальных объединений; полномочия и различия требуют сопоставления.</v>
      </c>
      <c r="D112" s="3" t="str">
        <v>Руководитель: Benson M. Akinnawonu; Национальный президент (National President). Текущий национальный президент назван в академическом издании Osun State University; дополнительно подтвержден сообщением об избрании в Nigeria Academy of Letters от августа 2026: Не смешивать с APPON; две самостоятельные национальные ассоциации. Дополнительные подтверждения приведены на листе «Источники».</v>
      </c>
      <c r="E112" s="3" t="str">
        <v>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</v>
      </c>
      <c r="F112" s="7" t="str">
        <v>https://ujws.uniosun.edu.ng/ijpc/issue/download/5/33</v>
      </c>
      <c r="G112" s="6" t="n">
        <v>46300</v>
      </c>
    </row>
    <row r="113" ht="61" customHeight="1">
      <c r="A113" s="3" t="str">
        <v>Нидерланды</v>
      </c>
      <c r="B113" s="3" t="str">
        <v>Нидерландская исследовательская школа философии</v>
      </c>
      <c r="C113" s="3" t="str">
        <v>Пограничный статус: исследовательская школа и общенациональная сеть, а не обычное членское философское общество.</v>
      </c>
      <c r="D113" s="3" t="str">
        <v>Руководитель: Maureen Sie; Председатель правления (Chair). Обоснованное исключение:это межуниверситетское объединение академических философов с общенациональной исследовательской и профессиональной функцией. Собственный сайт прямо уточняет, что OZSW не является общей ассоциацией всех философов Нидерландов. FISP относит OZSW к национальным обществам.</v>
      </c>
      <c r="E113" s="3" t="str">
        <v>Уточнить вопрос по текущему уставу и официальным сообщениям организации.</v>
      </c>
      <c r="F113" s="7" t="str">
        <v>https://www.ozsw.nl/about-the-ozsw/</v>
      </c>
      <c r="G113" s="6" t="n">
        <v>46300</v>
      </c>
    </row>
    <row r="114" ht="48" customHeight="1">
      <c r="A114" s="3" t="str">
        <v>Никарагуа</v>
      </c>
      <c r="B114" s="3" t="str">
        <v>Национальная организация не определена</v>
      </c>
      <c r="C114" s="3" t="str">
        <v>Не удалось достоверно определить национальное профессиональное объединение.</v>
      </c>
      <c r="D114" s="3" t="str">
        <v>Проверены международные реестры и поисковые запросы; надежное подтверждение национальной организации не найдено.</v>
      </c>
      <c r="E11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4" s="3" t="str">
        <v>Не обнаружен</v>
      </c>
      <c r="G114" s="6" t="n">
        <v>46300</v>
      </c>
    </row>
    <row r="115" ht="48" customHeight="1">
      <c r="A115" s="3" t="str">
        <v>Норвегия</v>
      </c>
      <c r="B115" s="3" t="str">
        <v>Национальная организация не определена</v>
      </c>
      <c r="C115" s="3" t="str">
        <v>Не удалось достоверно определить национальное профессиональное объединение.</v>
      </c>
      <c r="D115" s="3" t="str">
        <v>Проверены международные реестры и поисковые запросы; надежное подтверждение национальной организации не найдено.</v>
      </c>
      <c r="E11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5" s="3" t="str">
        <v>Не обнаружен</v>
      </c>
      <c r="G115" s="6" t="n">
        <v>46300</v>
      </c>
    </row>
    <row r="116" ht="48" customHeight="1">
      <c r="A116" s="3" t="str">
        <v>ОАЭ</v>
      </c>
      <c r="B116" s="3" t="str">
        <v>Дом философии в Фуджейре</v>
      </c>
      <c r="C116" s="3" t="str">
        <v>Не удалось достоверно установить действующего первого руководителя.
Необходимо уточнить, кто является первым руководителем: директор учреждения или академический декан.</v>
      </c>
      <c r="D116" s="3" t="str">
        <v>Исключение:культурное философское учреждение, а не ассоциация индивидуального членства. FISP включает его как национальное общество; альтернативное широкое профессиональное объединение не подтверждено.</v>
      </c>
      <c r="E11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16" s="7" t="str">
        <v>https://culturalmap.gov.ae/ar/facilities/philosophy-house</v>
      </c>
      <c r="G116" s="6" t="n">
        <v>46300</v>
      </c>
    </row>
    <row r="117" ht="48" customHeight="1">
      <c r="A117" s="3" t="str">
        <v>Оман</v>
      </c>
      <c r="B117" s="3" t="str">
        <v>Национальная организация не определена</v>
      </c>
      <c r="C117" s="3" t="str">
        <v>Не удалось достоверно определить национальное профессиональное объединение.</v>
      </c>
      <c r="D117" s="3" t="str">
        <v>Проверены международные реестры и поисковые запросы; надежное подтверждение национальной организации не найдено.</v>
      </c>
      <c r="E11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7" s="3" t="str">
        <v>Не обнаружен</v>
      </c>
      <c r="G117" s="6" t="n">
        <v>46300</v>
      </c>
    </row>
    <row r="118" ht="48" customHeight="1">
      <c r="A118" s="3" t="str">
        <v>Пакистан</v>
      </c>
      <c r="B118" s="3" t="str">
        <v>Национальная организация не определена</v>
      </c>
      <c r="C118" s="3" t="str">
        <v>Не удалось достоверно определить национальное профессиональное объединение.</v>
      </c>
      <c r="D118" s="3" t="str">
        <v>Проверены международные реестры и поисковые запросы; надежное подтверждение национальной организации не найдено.</v>
      </c>
      <c r="E11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8" s="3" t="str">
        <v>Не обнаружен</v>
      </c>
      <c r="G118" s="6" t="n">
        <v>46300</v>
      </c>
    </row>
    <row r="119" ht="48" customHeight="1">
      <c r="A119" s="3" t="str">
        <v>Палау</v>
      </c>
      <c r="B119" s="3" t="str">
        <v>Национальная организация не определена</v>
      </c>
      <c r="C119" s="3" t="str">
        <v>Не удалось достоверно определить национальное профессиональное объединение.</v>
      </c>
      <c r="D119" s="3" t="str">
        <v>Проверены международные реестры и поисковые запросы; надежное подтверждение национальной организации не найдено.</v>
      </c>
      <c r="E11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19" s="3" t="str">
        <v>Не обнаружен</v>
      </c>
      <c r="G119" s="6" t="n">
        <v>46300</v>
      </c>
    </row>
    <row r="120" ht="48" customHeight="1">
      <c r="A120" s="3" t="str">
        <v>Палестина</v>
      </c>
      <c r="B120" s="3" t="str">
        <v>Национальная организация не определена</v>
      </c>
      <c r="C120" s="3" t="str">
        <v>Не удалось достоверно определить национальное профессиональное объединение.</v>
      </c>
      <c r="D120" s="3" t="str">
        <v>Проверены международные реестры и поисковые запросы; надежное подтверждение национальной организации не найдено.</v>
      </c>
      <c r="E12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0" s="3" t="str">
        <v>Не обнаружен</v>
      </c>
      <c r="G120" s="6" t="n">
        <v>46300</v>
      </c>
    </row>
    <row r="121" ht="48" customHeight="1">
      <c r="A121" s="3" t="str">
        <v>Панама</v>
      </c>
      <c r="B121" s="3" t="str">
        <v>Asociación Panameña de Filosofía</v>
      </c>
      <c r="C121" s="3" t="str">
        <v>Кандидат исключен из основного реестра; национальный статус не подтвержден.</v>
      </c>
      <c r="D121" s="3" t="str">
        <v>Протокол ACAFI от 20.11.2025, опубликованный 20.07.2026, прямо сообщает: национальные ассоциации еще не созданы. Представители страны участвуют в ACAFI; действующая самостоятельная организация не подтверждена.</v>
      </c>
      <c r="E12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1" s="7" t="str">
        <v>https://azurrevista.com/wp-content/uploads/2026/08/1_Acta-del-XIV-Congreso-Centroamericano-de-Filosofia.html</v>
      </c>
      <c r="G121" s="6" t="n">
        <v>46300</v>
      </c>
    </row>
    <row r="122" ht="48" customHeight="1">
      <c r="A122" s="3" t="str">
        <v>Папуа — Новая Гвинея</v>
      </c>
      <c r="B122" s="3" t="str">
        <v>Национальная организация не определена</v>
      </c>
      <c r="C122" s="3" t="str">
        <v>Не удалось достоверно определить национальное профессиональное объединение.</v>
      </c>
      <c r="D122" s="3" t="str">
        <v>Проверены международные реестры и поисковые запросы; надежное подтверждение национальной организации не найдено.</v>
      </c>
      <c r="E12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2" s="3" t="str">
        <v>Не обнаружен</v>
      </c>
      <c r="G122" s="6" t="n">
        <v>46300</v>
      </c>
    </row>
    <row r="123" ht="61" customHeight="1">
      <c r="A123" s="3" t="str">
        <v>Парагвай</v>
      </c>
      <c r="B123" s="3" t="str">
        <v>Парагвайское философское общество</v>
      </c>
      <c r="C123" s="3" t="str">
        <v>Не удалось достоверно установить действующего первого руководителя.
Не обнаружены собственный актуальный сайт, устав и полный состав руководства; нужно сверить аббревиатуру и национальный охват.</v>
      </c>
      <c r="D123" s="3" t="str">
        <v>Актуальная страница партнерского исследовательского центра подтверждает отдельное общество и членов его руководства. CIF сам по себе не включен как национальное общество. Национальный состав и деятельность дополнительно описаны в интервью учредителей 2018 и сообщении о мероприятии 2024. Написание аббревиатуры SOPFIL / SOPAFIL в источниках различается.</v>
      </c>
      <c r="E12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23" s="7" t="str">
        <v>https://cifpy.wordpress.com/institucional/</v>
      </c>
      <c r="G123" s="6" t="n">
        <v>46300</v>
      </c>
    </row>
    <row r="124" ht="61" customHeight="1">
      <c r="A124" s="3" t="str">
        <v>Перу</v>
      </c>
      <c r="B124" s="3" t="str">
        <v>Перуанское философское общество</v>
      </c>
      <c r="C124" s="3" t="str">
        <v>Официальный сайт не открылся при автоматической проверке: При проверке не открылся; HTTP 500.</v>
      </c>
      <c r="D124" s="3" t="str">
        <v>Руководитель: Rubén Quiroz Ávila; Президент (Presidente). Текущее руководство подтверждено собственным советом и официальной государственной газетой 18.05.2026. Archivos de la Sociedad Peruana de Filosofía опубликованы на сайте как исторический архив; современный собственный журнал не установлен. Доступ к официальному сайту: При проверке не открылся; HTTP 500.</v>
      </c>
      <c r="E124" s="3" t="str">
        <v>Повторно проверить доступ в обычном браузере; уточнить актуальный домен и официальные контакты.</v>
      </c>
      <c r="F124" s="7" t="str">
        <v>https://elperuano.pe/noticia/295932-lo-peruano-sigue-siendo-un-desafio</v>
      </c>
      <c r="G124" s="6" t="n">
        <v>46300</v>
      </c>
    </row>
    <row r="125" ht="61" customHeight="1">
      <c r="A125" s="3" t="str">
        <v>Руанда</v>
      </c>
      <c r="B125" s="3" t="str">
        <v>Руандийская ассоциация философии</v>
      </c>
      <c r="C125" s="3" t="str">
        <v>Не удалось достоверно установить действующего первого руководителя.
Основной официальный источник устарел; современную активность и руководство необходимо подтвердить.</v>
      </c>
      <c r="D125" s="3" t="str">
        <v>ARPHI основана преподавателями философии Руанды и принимает философов и заинтересованную публику; статус подтвержден Национальной комиссией ЮНЕСКО. Источник 2016 года; руководство и деятельность в 2026 году не подтверждены.</v>
      </c>
      <c r="E12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125" s="7" t="str">
        <v>https://www.unesco.rw/IMG/pdf/007_december_2016.pdf</v>
      </c>
      <c r="G125" s="6" t="n">
        <v>46300</v>
      </c>
    </row>
    <row r="126" ht="48" customHeight="1">
      <c r="A126" s="3" t="str">
        <v>Румыния</v>
      </c>
      <c r="B126" s="3" t="str">
        <v>Societatea Română de Filosofie</v>
      </c>
      <c r="C126" s="3" t="str">
        <v>Кандидат исключен из основного реестра; национальный статус не подтвержден.</v>
      </c>
      <c r="D126" s="3" t="str">
        <v>Страница srfil.org содержит общий образовательный шаблон с собственным названием и заявленной миссией, но не дает проверяемых сведений о членах, уставе, органах управления или реальной деятельности. Не подтверждено, что это действующее профессиональное национальное общество.</v>
      </c>
      <c r="E12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6" s="7" t="str">
        <v>https://srfil.org/</v>
      </c>
      <c r="G126" s="6" t="n">
        <v>46300</v>
      </c>
    </row>
    <row r="127" ht="48" customHeight="1">
      <c r="A127" s="3" t="str">
        <v>Сальвадор</v>
      </c>
      <c r="B127" s="3" t="str">
        <v>Сальвадорская философская ассоциация</v>
      </c>
      <c r="C127" s="3" t="str">
        <v>Не удалось достоверно установить действующего первого руководителя.
Юридическая регистрация национальной ассоциации не завершена по протоколу ACAFI 2025, опубликованному в 2026.</v>
      </c>
      <c r="D127" s="3" t="str">
        <v>Названа региональной федерацией как одна из национальных философских ассоциаций. Собственный сайт и актуальное руководство пока не подтверждены. Azur — совместный официальный орган национальных ассоциаций ACAFI.</v>
      </c>
      <c r="E12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27" s="7" t="str">
        <v>https://azurrevista.com/wp-content/uploads/2026/08/1_Acta-del-XIV-Congreso-Centroamericano-de-Filosofia.html</v>
      </c>
      <c r="G127" s="6" t="n">
        <v>46300</v>
      </c>
    </row>
    <row r="128" ht="48" customHeight="1">
      <c r="A128" s="3" t="str">
        <v>Самоа</v>
      </c>
      <c r="B128" s="3" t="str">
        <v>Национальная организация не определена</v>
      </c>
      <c r="C128" s="3" t="str">
        <v>Не удалось достоверно определить национальное профессиональное объединение.</v>
      </c>
      <c r="D128" s="3" t="str">
        <v>Проверены международные реестры и поисковые запросы; надежное подтверждение национальной организации не найдено.</v>
      </c>
      <c r="E12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8" s="3" t="str">
        <v>Не обнаружен</v>
      </c>
      <c r="G128" s="6" t="n">
        <v>46300</v>
      </c>
    </row>
    <row r="129" ht="48" customHeight="1">
      <c r="A129" s="3" t="str">
        <v>Сан-Марино</v>
      </c>
      <c r="B129" s="3" t="str">
        <v>Национальная организация не определена</v>
      </c>
      <c r="C129" s="3" t="str">
        <v>Не удалось достоверно определить национальное профессиональное объединение.</v>
      </c>
      <c r="D129" s="3" t="str">
        <v>Проверены международные реестры и поисковые запросы; надежное подтверждение национальной организации не найдено.</v>
      </c>
      <c r="E12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29" s="3" t="str">
        <v>Не обнаружен</v>
      </c>
      <c r="G129" s="6" t="n">
        <v>46300</v>
      </c>
    </row>
    <row r="130" ht="48" customHeight="1">
      <c r="A130" s="3" t="str">
        <v>Сан-Томе и Принсипи</v>
      </c>
      <c r="B130" s="3" t="str">
        <v>Национальная организация не определена</v>
      </c>
      <c r="C130" s="3" t="str">
        <v>Не удалось достоверно определить национальное профессиональное объединение.</v>
      </c>
      <c r="D130" s="3" t="str">
        <v>Проверены международные реестры и поисковые запросы; надежное подтверждение национальной организации не найдено.</v>
      </c>
      <c r="E13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0" s="3" t="str">
        <v>Не обнаружен</v>
      </c>
      <c r="G130" s="6" t="n">
        <v>46300</v>
      </c>
    </row>
    <row r="131" ht="61" customHeight="1">
      <c r="A131" s="3" t="str">
        <v>Саудовская Аравия</v>
      </c>
      <c r="B131" s="3" t="str">
        <v>Саудовское философское общество</v>
      </c>
      <c r="C131" s="3" t="str">
        <v>Точный срок полномочий второго совета директоров не опубликован; желательно подтвердить его протоколом выборов.
Руководитель указан на текущей официальной странице; дата окончания полномочий не опубликована.</v>
      </c>
      <c r="D131" s="3" t="str">
        <v>Руководитель: عبدالله المطيري; Председатель совета директоров (رئيس مجلس الإدارة). Текущий официальный сайт ссылается на второй состав совета директоров, опубликованный в ноябре 2024 года; имя и должность прочитаны на официальном изображении совета. Срок полномочий на изображении не указан.</v>
      </c>
      <c r="E131" s="3" t="str">
        <v>Уточнить вопрос по текущему уставу и официальным сообщениям организации.</v>
      </c>
      <c r="F131" s="7" t="str">
        <v>https://saudiphilosophy.com/wp-content/uploads/2024/11/PHOTO-2024-11-06-08-36-23.jpg</v>
      </c>
      <c r="G131" s="6" t="n">
        <v>46300</v>
      </c>
    </row>
    <row r="132" ht="48" customHeight="1">
      <c r="A132" s="3" t="str">
        <v>Северная Корея</v>
      </c>
      <c r="B132" s="3" t="str">
        <v>Национальная организация не определена</v>
      </c>
      <c r="C132" s="3" t="str">
        <v>Не удалось достоверно определить национальное профессиональное объединение.</v>
      </c>
      <c r="D132" s="3" t="str">
        <v>Проверены международные реестры и поисковые запросы; надежное подтверждение национальной организации не найдено.</v>
      </c>
      <c r="E13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2" s="3" t="str">
        <v>Не обнаружен</v>
      </c>
      <c r="G132" s="6" t="n">
        <v>46300</v>
      </c>
    </row>
    <row r="133" ht="48" customHeight="1">
      <c r="A133" s="3" t="str">
        <v>Северная Македония</v>
      </c>
      <c r="B133" s="3" t="str">
        <v>Философское общество Македонии</v>
      </c>
      <c r="C133" s="3" t="str">
        <v>Не удалось достоверно установить действующего первого руководителя.</v>
      </c>
      <c r="D133" s="3" t="str">
        <v>Действующее национальное общество; 70-летие в 2026 году. FISP использует устаревшее обозначение страны. Издатель Филозофска трибина прямо указан на собственной странице общества.</v>
      </c>
      <c r="E13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33" s="7" t="str">
        <v>https://fdm.mk/za-nas/</v>
      </c>
      <c r="G133" s="6" t="n">
        <v>46300</v>
      </c>
    </row>
    <row r="134" ht="48" customHeight="1">
      <c r="A134" s="3" t="str">
        <v>Сейшелы</v>
      </c>
      <c r="B134" s="3" t="str">
        <v>Национальная организация не определена</v>
      </c>
      <c r="C134" s="3" t="str">
        <v>Не удалось достоверно определить национальное профессиональное объединение.</v>
      </c>
      <c r="D134" s="3" t="str">
        <v>Проверены международные реестры и поисковые запросы; надежное подтверждение национальной организации не найдено.</v>
      </c>
      <c r="E13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4" s="3" t="str">
        <v>Не обнаружен</v>
      </c>
      <c r="G134" s="6" t="n">
        <v>46300</v>
      </c>
    </row>
    <row r="135" ht="74" customHeight="1">
      <c r="A135" s="3" t="str">
        <v>Сенегал</v>
      </c>
      <c r="B135" s="3" t="str">
        <v>Сенегальская философская ассоциация</v>
      </c>
      <c r="C135" s="3" t="str">
        <v>Не удалось достоверно установить действующего первого руководителя.
Не установлены высший орган руководства и отношения с SOSEPHI; несколько общепрофильных национальных организаций.
В стране несколько национальных объединений; полномочия и различия требуют сопоставления.</v>
      </c>
      <c r="D135" s="3" t="str">
        <v>Отдельное объединение от Société sénégalaise de philosophie (SOSEPHI). Организационное членство и совместная школа 2025 подтверждены партнером. Oumar Dia назван генеральным секретарем; не установлено, что это высшая должность.</v>
      </c>
      <c r="E13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</v>
      </c>
      <c r="F135" s="7" t="str">
        <v>https://caribbeanphilosophy.org/ecole-africaine-de-philosophie</v>
      </c>
      <c r="G135" s="6" t="n">
        <v>46300</v>
      </c>
    </row>
    <row r="136" ht="87" customHeight="1">
      <c r="A136" s="3" t="str">
        <v>Сенегал</v>
      </c>
      <c r="B136" s="3" t="str">
        <v>Сенегальское философское общество</v>
      </c>
      <c r="C136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
В стране несколько национальных объединений; полномочия и различия требуют сопоставления.</v>
      </c>
      <c r="D136" s="3" t="str">
        <v>Издание при участии SOSEPHI и философского отделения Университета Шейха Анта Диопа; организация отличается от ASEPHI.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3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Найти свежие мероприятия, отчет или официальный ответ о продолжении деятельности.</v>
      </c>
      <c r="F136" s="7" t="str">
        <v>https://www.fisp.org/members/national-societies</v>
      </c>
      <c r="G136" s="6" t="n">
        <v>46300</v>
      </c>
    </row>
    <row r="137" ht="48" customHeight="1">
      <c r="A137" s="3" t="str">
        <v>Сент-Винсент и Гренадины</v>
      </c>
      <c r="B137" s="3" t="str">
        <v>Национальная организация не определена</v>
      </c>
      <c r="C137" s="3" t="str">
        <v>Не удалось достоверно определить национальное профессиональное объединение.</v>
      </c>
      <c r="D137" s="3" t="str">
        <v>Проверены международные реестры и поисковые запросы; надежное подтверждение национальной организации не найдено.</v>
      </c>
      <c r="E13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7" s="3" t="str">
        <v>Не обнаружен</v>
      </c>
      <c r="G137" s="6" t="n">
        <v>46300</v>
      </c>
    </row>
    <row r="138" ht="48" customHeight="1">
      <c r="A138" s="3" t="str">
        <v>Сент-Китс и Невис</v>
      </c>
      <c r="B138" s="3" t="str">
        <v>Национальная организация не определена</v>
      </c>
      <c r="C138" s="3" t="str">
        <v>Не удалось достоверно определить национальное профессиональное объединение.</v>
      </c>
      <c r="D138" s="3" t="str">
        <v>Проверены международные реестры и поисковые запросы; надежное подтверждение национальной организации не найдено.</v>
      </c>
      <c r="E13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8" s="3" t="str">
        <v>Не обнаружен</v>
      </c>
      <c r="G138" s="6" t="n">
        <v>46300</v>
      </c>
    </row>
    <row r="139" ht="48" customHeight="1">
      <c r="A139" s="3" t="str">
        <v>Сент-Люсия</v>
      </c>
      <c r="B139" s="3" t="str">
        <v>Национальная организация не определена</v>
      </c>
      <c r="C139" s="3" t="str">
        <v>Не удалось достоверно определить национальное профессиональное объединение.</v>
      </c>
      <c r="D139" s="3" t="str">
        <v>Проверены международные реестры и поисковые запросы; надежное подтверждение национальной организации не найдено.</v>
      </c>
      <c r="E13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39" s="3" t="str">
        <v>Не обнаружен</v>
      </c>
      <c r="G139" s="6" t="n">
        <v>46300</v>
      </c>
    </row>
    <row r="140" ht="61" customHeight="1">
      <c r="A140" s="3" t="str">
        <v>Сербия</v>
      </c>
      <c r="B140" s="3" t="str">
        <v>Сербское философское общество</v>
      </c>
      <c r="C140" s="3" t="str">
        <v>Не удалось достоверно установить действующего первого руководителя.
Не найдено актуальное подтверждение полномочий Слободана Кањеваца; сайт общества требует сверки.</v>
      </c>
      <c r="D140" s="3" t="str">
        <v>Программа 2025 года называет председателем Слободана Кањеваца; свежая страница действующего правления пока не найдена. Министерский перечень научных журналов за 2024 прямо называет Српско филозофско друштво издателем Theoria. Деятельность в сентябре 2026 подтверждена муниципалитетом Кнић.</v>
      </c>
      <c r="E14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40" s="7" t="str">
        <v>https://nafasep.ucg.ac.me/assets/dok/Knjiga%20apstrakata%202025.pdf</v>
      </c>
      <c r="G140" s="6" t="n">
        <v>46300</v>
      </c>
    </row>
    <row r="141" ht="48" customHeight="1">
      <c r="A141" s="3" t="str">
        <v>Сирия</v>
      </c>
      <c r="B141" s="3" t="str">
        <v>Национальная организация не определена</v>
      </c>
      <c r="C141" s="3" t="str">
        <v>Не удалось достоверно определить национальное профессиональное объединение.</v>
      </c>
      <c r="D141" s="3" t="str">
        <v>Проверены международные реестры и поисковые запросы; надежное подтверждение национальной организации не найдено.</v>
      </c>
      <c r="E14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1" s="3" t="str">
        <v>Не обнаружен</v>
      </c>
      <c r="G141" s="6" t="n">
        <v>46300</v>
      </c>
    </row>
    <row r="142" ht="61" customHeight="1">
      <c r="A142" s="3" t="str">
        <v>Словакия</v>
      </c>
      <c r="B142" s="3" t="str">
        <v>Словацкое философское объединение</v>
      </c>
      <c r="C142" s="3" t="str">
        <v>Не удалось достоверно установить действующего первого руководителя.
Официальный сайт не открылся при автоматической проверке: При проверке не открылся; HTTP 502.</v>
      </c>
      <c r="D142" s="3" t="str">
        <v>Дополнительные замечания не обнаружены. Доступ к официальному сайту: При проверке не открылся; HTTP 502.</v>
      </c>
      <c r="E142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42" s="7" t="str">
        <v>https://www.fisp.org/members/national-societies</v>
      </c>
      <c r="G142" s="6" t="n">
        <v>46300</v>
      </c>
    </row>
    <row r="143" ht="48" customHeight="1">
      <c r="A143" s="3" t="str">
        <v>Соломоновы Острова</v>
      </c>
      <c r="B143" s="3" t="str">
        <v>Национальная организация не определена</v>
      </c>
      <c r="C143" s="3" t="str">
        <v>Не удалось достоверно определить национальное профессиональное объединение.</v>
      </c>
      <c r="D143" s="3" t="str">
        <v>Проверены международные реестры и поисковые запросы; надежное подтверждение национальной организации не найдено.</v>
      </c>
      <c r="E14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3" s="3" t="str">
        <v>Не обнаружен</v>
      </c>
      <c r="G143" s="6" t="n">
        <v>46300</v>
      </c>
    </row>
    <row r="144" ht="48" customHeight="1">
      <c r="A144" s="3" t="str">
        <v>Сомали</v>
      </c>
      <c r="B144" s="3" t="str">
        <v>Национальная организация не определена</v>
      </c>
      <c r="C144" s="3" t="str">
        <v>Не удалось достоверно определить национальное профессиональное объединение.</v>
      </c>
      <c r="D144" s="3" t="str">
        <v>Проверены международные реестры и поисковые запросы; надежное подтверждение национальной организации не найдено.</v>
      </c>
      <c r="E14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4" s="3" t="str">
        <v>Не обнаружен</v>
      </c>
      <c r="G144" s="6" t="n">
        <v>46300</v>
      </c>
    </row>
    <row r="145" ht="48" customHeight="1">
      <c r="A145" s="3" t="str">
        <v>Судан</v>
      </c>
      <c r="B145" s="3" t="str">
        <v>Национальная организация не определена</v>
      </c>
      <c r="C145" s="3" t="str">
        <v>Не удалось достоверно определить национальное профессиональное объединение.</v>
      </c>
      <c r="D145" s="3" t="str">
        <v>Проверены международные реестры и поисковые запросы; надежное подтверждение национальной организации не найдено.</v>
      </c>
      <c r="E14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5" s="3" t="str">
        <v>Не обнаружен</v>
      </c>
      <c r="G145" s="6" t="n">
        <v>46300</v>
      </c>
    </row>
    <row r="146" ht="48" customHeight="1">
      <c r="A146" s="3" t="str">
        <v>Суринам</v>
      </c>
      <c r="B146" s="3" t="str">
        <v>Национальная организация не определена</v>
      </c>
      <c r="C146" s="3" t="str">
        <v>Не удалось достоверно определить национальное профессиональное объединение.</v>
      </c>
      <c r="D146" s="3" t="str">
        <v>Проверены международные реестры и поисковые запросы; надежное подтверждение национальной организации не найдено.</v>
      </c>
      <c r="E14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6" s="3" t="str">
        <v>Не обнаружен</v>
      </c>
      <c r="G146" s="6" t="n">
        <v>46300</v>
      </c>
    </row>
    <row r="147" ht="61" customHeight="1">
      <c r="A147" s="3" t="str">
        <v>США</v>
      </c>
      <c r="B147" s="3" t="str">
        <v>Американская философская ассоциация</v>
      </c>
      <c r="C147" s="3" t="str">
        <v>Официальный сайт не открылся при автоматической проверке: Автоматический доступ ограничен; HTTP 403.</v>
      </c>
      <c r="D147" s="3" t="str">
        <v>Руководитель: Marya Schechtman; Председатель совета должностных лиц (Chair of the Board of Officers). Высшее общенациональное руководство — председатель Board of Officers; президенты Eastern, Central и Pacific Divisions возглавляют отделения. Вступление Marya Schechtman в должность — 01.07.2026. Доступ к официальному сайту: Автоматический доступ ограничен; HTTP 403.</v>
      </c>
      <c r="E147" s="3" t="str">
        <v>Повторно проверить доступ в обычном браузере; уточнить актуальный домен и официальные контакты.</v>
      </c>
      <c r="F147" s="7" t="str">
        <v>https://www.apaonline.org/news/718414/Marya-Schechtman-elected-new-APA-board-chair.htm</v>
      </c>
      <c r="G147" s="6" t="n">
        <v>46300</v>
      </c>
    </row>
    <row r="148" ht="48" customHeight="1">
      <c r="A148" s="3" t="str">
        <v>Сьерра-Леоне</v>
      </c>
      <c r="B148" s="3" t="str">
        <v>Национальная организация не определена</v>
      </c>
      <c r="C148" s="3" t="str">
        <v>Не удалось достоверно определить национальное профессиональное объединение.</v>
      </c>
      <c r="D148" s="3" t="str">
        <v>Проверены международные реестры и поисковые запросы; надежное подтверждение национальной организации не найдено.</v>
      </c>
      <c r="E14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8" s="3" t="str">
        <v>Не обнаружен</v>
      </c>
      <c r="G148" s="6" t="n">
        <v>46300</v>
      </c>
    </row>
    <row r="149" ht="48" customHeight="1">
      <c r="A149" s="3" t="str">
        <v>Таджикистан</v>
      </c>
      <c r="B149" s="3" t="str">
        <v>Национальная организация не определена</v>
      </c>
      <c r="C149" s="3" t="str">
        <v>Не удалось достоверно определить национальное профессиональное объединение.</v>
      </c>
      <c r="D149" s="3" t="str">
        <v>Проверены международные реестры и поисковые запросы; надежное подтверждение национальной организации не найдено.</v>
      </c>
      <c r="E14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49" s="3" t="str">
        <v>Не обнаружен</v>
      </c>
      <c r="G149" s="6" t="n">
        <v>46300</v>
      </c>
    </row>
    <row r="150" ht="48" customHeight="1">
      <c r="A150" s="3" t="str">
        <v>Таиланд</v>
      </c>
      <c r="B150" s="3" t="str">
        <v>Общество философии и религии Таиланда</v>
      </c>
      <c r="C150" s="3" t="str">
        <v>Не удалось достоверно установить действующего первого руководителя.</v>
      </c>
      <c r="D150" s="3" t="str">
        <v>Официальная издательская связь подтверждена страницей About журнала.</v>
      </c>
      <c r="E150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50" s="7" t="str">
        <v>https://www.fisp.org/members/national-societies</v>
      </c>
      <c r="G150" s="6" t="n">
        <v>46300</v>
      </c>
    </row>
    <row r="151" ht="87" customHeight="1">
      <c r="A151" s="3" t="str">
        <v>Тайвань</v>
      </c>
      <c r="B151" s="3" t="str">
        <v>Китайское философское общество (Тайвань)</v>
      </c>
      <c r="C151" s="3" t="str">
        <v>Не удалось достоверно установить действующего первого руководителя.
Не установлены официальный сайт и текущий руководитель; несколько национальных обществ.
В стране несколько национальных объединений; полномочия и различия требуют сопоставления.</v>
      </c>
      <c r="D151" s="3" t="str">
        <v>Действующее тайваньское общество; в уставной цели — философские исследования в целом. Не отождествлять с историческим обществом на материковом Китае и международным International Society for Chinese Philosophy. Две самостоятельные общепрофильные организации на Тайване.</v>
      </c>
      <c r="E151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</v>
      </c>
      <c r="F151" s="7" t="str">
        <v>https://tpatw.org/conference/3440/</v>
      </c>
      <c r="G151" s="6" t="n">
        <v>46300</v>
      </c>
    </row>
    <row r="152" ht="61" customHeight="1">
      <c r="A152" s="3" t="str">
        <v>Тайвань</v>
      </c>
      <c r="B152" s="3" t="str">
        <v>Тайваньская философская ассоциация</v>
      </c>
      <c r="C152" s="3" t="str">
        <v>Несколько общепрофильных организаций на Тайване; не смешивать 台灣哲學學會 и 中國哲學會.
В стране несколько национальных объединений; полномочия и различия требуют сопоставления.</v>
      </c>
      <c r="D152" s="3" t="str">
        <v>Руководитель: 王華; Президент (會長). Действующий президент 14-го состава — 王華. Старый президент 洪子偉 входит в правление как рядовой член. Дополнительный охват вне списка 195 членов и наблюдателей ООН; самостоятельная организация от 中國哲學會.</v>
      </c>
      <c r="E152" s="3" t="str">
        <v>Сопоставить уставы, состав членов, представительские функции и проведение национальных конгрессов.</v>
      </c>
      <c r="F152" s="7" t="str">
        <v>https://tpatw.org/abouttpa/organize_14/</v>
      </c>
      <c r="G152" s="6" t="n">
        <v>46300</v>
      </c>
    </row>
    <row r="153" ht="48" customHeight="1">
      <c r="A153" s="3" t="str">
        <v>Танзания</v>
      </c>
      <c r="B153" s="3" t="str">
        <v>Национальная организация не определена</v>
      </c>
      <c r="C153" s="3" t="str">
        <v>Не удалось достоверно определить национальное профессиональное объединение.</v>
      </c>
      <c r="D153" s="3" t="str">
        <v>Проверены международные реестры и поисковые запросы; надежное подтверждение национальной организации не найдено.</v>
      </c>
      <c r="E15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3" s="3" t="str">
        <v>Не обнаружен</v>
      </c>
      <c r="G153" s="6" t="n">
        <v>46300</v>
      </c>
    </row>
    <row r="154" ht="48" customHeight="1">
      <c r="A154" s="3" t="str">
        <v>Тимор-Лешти</v>
      </c>
      <c r="B154" s="3" t="str">
        <v>Национальная организация не определена</v>
      </c>
      <c r="C154" s="3" t="str">
        <v>Не удалось достоверно определить национальное профессиональное объединение.</v>
      </c>
      <c r="D154" s="3" t="str">
        <v>Проверены международные реестры и поисковые запросы; надежное подтверждение национальной организации не найдено.</v>
      </c>
      <c r="E15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4" s="3" t="str">
        <v>Не обнаружен</v>
      </c>
      <c r="G154" s="6" t="n">
        <v>46300</v>
      </c>
    </row>
    <row r="155" ht="61" customHeight="1">
      <c r="A155" s="3" t="str">
        <v>Того</v>
      </c>
      <c r="B155" s="3" t="str">
        <v>Тоголезское философское общество</v>
      </c>
      <c r="C155" s="3" t="str">
        <v>Не удалось достоверно установить действующего первого руководителя.
Не установлен актуальный руководитель и собственный официальный сайт.</v>
      </c>
      <c r="D155" s="3" t="str">
        <v>Регистрация подтверждена официальным государственным бюллетенем. Современная деятельность дополнительно подтверждена ISDB в ноябре 2025: Президент Komi Kouvon указан в прессе 2024; актуальность на 2026 не доказана. Дополнительные подтверждения приведены на листе «Источники».</v>
      </c>
      <c r="E15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55" s="7" t="str">
        <v>https://jo.gouv.tg/sites/default/files/annee/2013/jo%202013-29ter%20suppl.pdf</v>
      </c>
      <c r="G155" s="6" t="n">
        <v>46300</v>
      </c>
    </row>
    <row r="156" ht="48" customHeight="1">
      <c r="A156" s="3" t="str">
        <v>Тонга</v>
      </c>
      <c r="B156" s="3" t="str">
        <v>Национальная организация не определена</v>
      </c>
      <c r="C156" s="3" t="str">
        <v>Не удалось достоверно определить национальное профессиональное объединение.</v>
      </c>
      <c r="D156" s="3" t="str">
        <v>Проверены международные реестры и поисковые запросы; надежное подтверждение национальной организации не найдено.</v>
      </c>
      <c r="E15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6" s="3" t="str">
        <v>Не обнаружен</v>
      </c>
      <c r="G156" s="6" t="n">
        <v>46300</v>
      </c>
    </row>
    <row r="157" ht="48" customHeight="1">
      <c r="A157" s="3" t="str">
        <v>Тринидад и Тобаго</v>
      </c>
      <c r="B157" s="3" t="str">
        <v>Национальная организация не определена</v>
      </c>
      <c r="C157" s="3" t="str">
        <v>Не удалось достоверно определить национальное профессиональное объединение.</v>
      </c>
      <c r="D157" s="3" t="str">
        <v>Проверены международные реестры и поисковые запросы; надежное подтверждение национальной организации не найдено.</v>
      </c>
      <c r="E157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7" s="3" t="str">
        <v>Не обнаружен</v>
      </c>
      <c r="G157" s="6" t="n">
        <v>46300</v>
      </c>
    </row>
    <row r="158" ht="48" customHeight="1">
      <c r="A158" s="3" t="str">
        <v>Тувалу</v>
      </c>
      <c r="B158" s="3" t="str">
        <v>Национальная организация не определена</v>
      </c>
      <c r="C158" s="3" t="str">
        <v>Не удалось достоверно определить национальное профессиональное объединение.</v>
      </c>
      <c r="D158" s="3" t="str">
        <v>Проверены международные реестры и поисковые запросы; надежное подтверждение национальной организации не найдено.</v>
      </c>
      <c r="E15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58" s="3" t="str">
        <v>Не обнаружен</v>
      </c>
      <c r="G158" s="6" t="n">
        <v>46300</v>
      </c>
    </row>
    <row r="159" ht="87" customHeight="1">
      <c r="A159" s="3" t="str">
        <v>Тунис</v>
      </c>
      <c r="B159" s="3" t="str">
        <v>Тунисская ассоциация философских исследований</v>
      </c>
      <c r="C159" s="3" t="str">
        <v>Не удалось достоверно установить действующего первого руководителя.
Актуальные органы управления и современная активность не подтверждены; исторический журнал не указан как текущий.</v>
      </c>
      <c r="D159" s="3" t="str">
        <v>Официальная страница подтверждает ассоциацию и адрес, но практически не содержит сведений об актуальном руководстве. Историческое издание المجلة التونسية للدراسات الفلسفية подтверждено Национальной библиотекой; современная связь / продолжение издания требуют проверки.</v>
      </c>
      <c r="E159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Проверить издателя, учредителя и институциональное соглашение на официальной странице издания.
Найти свежие мероприятия, отчет или официальный ответ о продолжении деятельности.</v>
      </c>
      <c r="F159" s="7" t="str">
        <v>https://asplf.org/liste-des-societes/</v>
      </c>
      <c r="G159" s="6" t="n">
        <v>46300</v>
      </c>
    </row>
    <row r="160" ht="48" customHeight="1">
      <c r="A160" s="3" t="str">
        <v>Туркменистан</v>
      </c>
      <c r="B160" s="3" t="str">
        <v>Национальная организация не определена</v>
      </c>
      <c r="C160" s="3" t="str">
        <v>Не удалось достоверно определить национальное профессиональное объединение.</v>
      </c>
      <c r="D160" s="3" t="str">
        <v>Проверены международные реестры и поисковые запросы; надежное подтверждение национальной организации не найдено.</v>
      </c>
      <c r="E16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60" s="3" t="str">
        <v>Не обнаружен</v>
      </c>
      <c r="G160" s="6" t="n">
        <v>46300</v>
      </c>
    </row>
    <row r="161" ht="48" customHeight="1">
      <c r="A161" s="3" t="str">
        <v>Турция</v>
      </c>
      <c r="B161" s="3" t="str">
        <v>Философское общество Турции</v>
      </c>
      <c r="C161" s="3" t="str">
        <v>Не удалось достоверно установить действующего первого руководителя.
Противоречие между страницей правления и более свежим сообщением; первый руководитель после смерти İoanna Kuçuradi не установлен.</v>
      </c>
      <c r="D161" s="3" t="str">
        <v>Страница правления продолжает указывать İoanna Kuçuradi, но более свежее официальное сообщение сообщает о ее смерти и церемонии 04.10.2026. Преемник / исполняющий обязанности не подтвержден.</v>
      </c>
      <c r="E161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61" s="7" t="str">
        <v>https://www.tfk.org.tr/k-a-m-u-o-y-u-n-a-d-u-y-u-r-u562.html</v>
      </c>
      <c r="G161" s="6" t="n">
        <v>46300</v>
      </c>
    </row>
    <row r="162" ht="48" customHeight="1">
      <c r="A162" s="3" t="str">
        <v>Уганда</v>
      </c>
      <c r="B162" s="3" t="str">
        <v>Национальная организация не определена</v>
      </c>
      <c r="C162" s="3" t="str">
        <v>Не удалось достоверно определить национальное профессиональное объединение.</v>
      </c>
      <c r="D162" s="3" t="str">
        <v>Проверены международные реестры и поисковые запросы; надежное подтверждение национальной организации не найдено.</v>
      </c>
      <c r="E16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62" s="3" t="str">
        <v>Не обнаружен</v>
      </c>
      <c r="G162" s="6" t="n">
        <v>46300</v>
      </c>
    </row>
    <row r="163" ht="61" customHeight="1">
      <c r="A163" s="3" t="str">
        <v>Узбекистан</v>
      </c>
      <c r="B163" s="3" t="str">
        <v>Философское общество Узбекистана</v>
      </c>
      <c r="C163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163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6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163" s="7" t="str">
        <v>https://www.fisp.org/members/national-societies</v>
      </c>
      <c r="G163" s="6" t="n">
        <v>46300</v>
      </c>
    </row>
    <row r="164" ht="61" customHeight="1">
      <c r="A164" s="3" t="str">
        <v>Украина</v>
      </c>
      <c r="B164" s="3" t="str">
        <v>Украинский философский фонд</v>
      </c>
      <c r="C164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</v>
      </c>
      <c r="D164" s="3" t="str">
        <v>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64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Найти свежие мероприятия, отчет или официальный ответ о продолжении деятельности.</v>
      </c>
      <c r="F164" s="7" t="str">
        <v>https://www.fisp.org/members/national-societies</v>
      </c>
      <c r="G164" s="6" t="n">
        <v>46300</v>
      </c>
    </row>
    <row r="165" ht="48" customHeight="1">
      <c r="A165" s="3" t="str">
        <v>Федеративные Штаты Микронезии</v>
      </c>
      <c r="B165" s="3" t="str">
        <v>Национальная организация не определена</v>
      </c>
      <c r="C165" s="3" t="str">
        <v>Не удалось достоверно определить национальное профессиональное объединение.</v>
      </c>
      <c r="D165" s="3" t="str">
        <v>Проверены международные реестры и поисковые запросы; надежное подтверждение национальной организации не найдено.</v>
      </c>
      <c r="E165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65" s="3" t="str">
        <v>Не обнаружен</v>
      </c>
      <c r="G165" s="6" t="n">
        <v>46300</v>
      </c>
    </row>
    <row r="166" ht="48" customHeight="1">
      <c r="A166" s="3" t="str">
        <v>Фиджи</v>
      </c>
      <c r="B166" s="3" t="str">
        <v>Национальная организация не определена</v>
      </c>
      <c r="C166" s="3" t="str">
        <v>Не удалось достоверно определить национальное профессиональное объединение.</v>
      </c>
      <c r="D166" s="3" t="str">
        <v>Проверены международные реестры и поисковые запросы; надежное подтверждение национальной организации не найдено.</v>
      </c>
      <c r="E16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66" s="3" t="str">
        <v>Не обнаружен</v>
      </c>
      <c r="G166" s="6" t="n">
        <v>46300</v>
      </c>
    </row>
    <row r="167" ht="74" customHeight="1">
      <c r="A167" s="3" t="str">
        <v>Филиппины</v>
      </c>
      <c r="B167" s="3" t="str">
        <v>Союз философских обществ и ассоциаций Филиппин</v>
      </c>
      <c r="C167" s="3" t="str">
        <v>Не удалось достоверно установить действующего первого руководителя.
Не обнаружено действующее руководство федерации; следует сверить официальное название и состав обществ после выхода SES в 2025.
В стране несколько национальных объединений; полномочия и различия требуют сопоставления.</v>
      </c>
      <c r="D167" s="3" t="str">
        <v>USAPP — федерация обществ, PAP — самостоятельная общепрофильная ассоциация. Существование и деятельность в 2025 подтверждены университетом-организатором. В некоторых источниках вариант Union of Philosophical Societies and Associations in the Philippines; юридическое название требует сверки.</v>
      </c>
      <c r="E16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</v>
      </c>
      <c r="F167" s="7" t="str">
        <v>https://bisu.edu.ph/2025/06/17/philosophizing-the-filipino-soul-usapp-summit-champions-identity-ethics-and-cultural-reflection/</v>
      </c>
      <c r="G167" s="6" t="n">
        <v>46300</v>
      </c>
    </row>
    <row r="168" ht="87" customHeight="1">
      <c r="A168" s="3" t="str">
        <v>Филиппины</v>
      </c>
      <c r="B168" s="3" t="str">
        <v>Филиппинская академия философских исследований</v>
      </c>
      <c r="C168" s="3" t="str">
        <v>Не удалось достоверно установить действующего первого руководителя.
Существование в реестре FISP не подтверждает текущую активность и состав руководства.
В стране несколько национальных объединений; полномочия и различия требуют сопоставления.</v>
      </c>
      <c r="D168" s="3" t="str">
        <v>В текущем списке FISP указана Academy, а не Association; собственный актуальный сайт для сверки названия не найден.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68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Найти свежие мероприятия, отчет или официальный ответ о продолжении деятельности.</v>
      </c>
      <c r="F168" s="7" t="str">
        <v>https://www.fisp.org/members/national-societies</v>
      </c>
      <c r="G168" s="6" t="n">
        <v>46300</v>
      </c>
    </row>
    <row r="169" ht="87" customHeight="1">
      <c r="A169" s="3" t="str">
        <v>Филиппины</v>
      </c>
      <c r="B169" s="3" t="str">
        <v>Философская ассоциация Филиппин</v>
      </c>
      <c r="C169" s="3" t="str">
        <v>Срок полномочий правления не указан; сопоставление PAP, PAPR и федерации USAPP требует проверки.
Руководитель указан на текущей официальной странице; дата окончания полномочий не опубликована.
В стране несколько национальных объединений; полномочия и различия требуют сопоставления.</v>
      </c>
      <c r="D169" s="3" t="str">
        <v>Руководитель: Ruby S. Suazo; Президент (President). Действующий Board of Officers опубликован на официальном сайте в виде изображения: На изображении президент Ruby S. Suazo; старые биографии Jeremiah Joven Joaquin не перенесены. Срок полномочий на странице не указан. Дополнительные подтверждения приведены на листе «Источники».</v>
      </c>
      <c r="E169" s="3" t="str">
        <v>Сопоставить уставы, состав членов, представительские функции и проведение национальных конгрессов.</v>
      </c>
      <c r="F169" s="7" t="str">
        <v>https://www.pap73.site/board-members.html</v>
      </c>
      <c r="G169" s="6" t="n">
        <v>46300</v>
      </c>
    </row>
    <row r="170" ht="48" customHeight="1">
      <c r="A170" s="3" t="str">
        <v>Центральноафриканская Республика</v>
      </c>
      <c r="B170" s="3" t="str">
        <v>Национальная организация не определена</v>
      </c>
      <c r="C170" s="3" t="str">
        <v>Не удалось достоверно определить национальное профессиональное объединение.</v>
      </c>
      <c r="D170" s="3" t="str">
        <v>Проверены международные реестры и поисковые запросы; надежное подтверждение национальной организации не найдено.</v>
      </c>
      <c r="E17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0" s="3" t="str">
        <v>Не обнаружен</v>
      </c>
      <c r="G170" s="6" t="n">
        <v>46300</v>
      </c>
    </row>
    <row r="171" ht="48" customHeight="1">
      <c r="A171" s="3" t="str">
        <v>Чад</v>
      </c>
      <c r="B171" s="3" t="str">
        <v>Национальная организация не определена</v>
      </c>
      <c r="C171" s="3" t="str">
        <v>Не удалось достоверно определить национальное профессиональное объединение.</v>
      </c>
      <c r="D171" s="3" t="str">
        <v>Проверены международные реестры и поисковые запросы; надежное подтверждение национальной организации не найдено.</v>
      </c>
      <c r="E17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1" s="3" t="str">
        <v>Не обнаружен</v>
      </c>
      <c r="G171" s="6" t="n">
        <v>46300</v>
      </c>
    </row>
    <row r="172" ht="87" customHeight="1">
      <c r="A172" s="3" t="str">
        <v>Черногория</v>
      </c>
      <c r="B172" s="3" t="str">
        <v>Черногорская ассоциация преподавателей философии</v>
      </c>
      <c r="C172" s="3" t="str">
        <v>Не удалось достоверно установить действующего первого руководителя.
Актуальный сайт, деятельность  не подтверждены.
Существование в реестре FISP не подтверждает текущую активность и состав руководства.</v>
      </c>
      <c r="D172" s="3" t="str">
        <v>Национальное объединение преподавателей, включенное FISP. Указанный FISP старый сайт Webs не подтвержден как доступный. Форма названия на языке оригинала приведена в текущем национальном списке FISP; самостоятельный современный сайт недоступен.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72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
Найти свежие мероприятия, отчет или официальный ответ о продолжении деятельности.</v>
      </c>
      <c r="F172" s="7" t="str">
        <v>https://www.fisp.org/members/national-societies</v>
      </c>
      <c r="G172" s="6" t="n">
        <v>46300</v>
      </c>
    </row>
    <row r="173" ht="74" customHeight="1">
      <c r="A173" s="3" t="str">
        <v>Чехия</v>
      </c>
      <c r="B173" s="3" t="str">
        <v>Философское объединение Чехии</v>
      </c>
      <c r="C173" s="3" t="str">
        <v>Не удалось достоверно установить действующего первого руководителя.
Официальный сайт недоступен через использованный канал; руководство и текущая национальная структура не подтверждены.
Официальный сайт не открылся при автоматической проверке: При проверке не открылся; HTTP 502.</v>
      </c>
      <c r="D173" s="3" t="str">
        <v>Университет Палацкого описывает действующее добровольное объединение философов и его отделение в учебном каталоге 2026/2027. Член FISP; отдельный сайт не удалось открыть. Доступ к официальному сайту: При проверке не открылся; HTTP 502.</v>
      </c>
      <c r="E173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Повторно проверить доступ в обычном браузере; уточнить актуальный домен и официальные контакты.</v>
      </c>
      <c r="F173" s="7" t="str">
        <v>https://stag.upol.cz/ects/fakulty/FIF/KFI/BJ20L?lang=cs</v>
      </c>
      <c r="G173" s="6" t="n">
        <v>46300</v>
      </c>
    </row>
    <row r="174" ht="61" customHeight="1">
      <c r="A174" s="3" t="str">
        <v>Чили</v>
      </c>
      <c r="B174" s="3" t="str">
        <v>Чилийская философская ассоциация</v>
      </c>
      <c r="C174" s="3" t="str">
        <v>Официальный сайт не загрузился; статус и новые выборы подтверждены университетскими источниками.
Официальный сайт не открылся при автоматической проверке: При проверке не открылся; HTTP 502.</v>
      </c>
      <c r="D174" s="3" t="str">
        <v>Руководитель: Jean-Paul Grasset; Президент (Presidente). Новый состав избран на конгрессе в ноябре 2025; следующий национальный конгресс — 2027. Руководство подтверждено университетом нового президента. Сайт организации не загрузился через исследовательский инструмент. Доступ к официальному сайту: При проверке не открылся; HTTP 502.</v>
      </c>
      <c r="E174" s="3" t="str">
        <v>Повторно проверить доступ в обычном браузере; уточнить актуальный домен и официальные контакты.</v>
      </c>
      <c r="F174" s="7" t="str">
        <v>https://cs-religiosas.uct.cl/noticias/x-congreso-nacional-de-filosofia-de-la-asociacion-chilena-de-filosofia-se-realizara-en-temuco/</v>
      </c>
      <c r="G174" s="6" t="n">
        <v>46300</v>
      </c>
    </row>
    <row r="175" ht="48" customHeight="1">
      <c r="A175" s="3" t="str">
        <v>Швеция</v>
      </c>
      <c r="B175" s="3" t="str">
        <v>Шведское философское общество</v>
      </c>
      <c r="C175" s="3" t="str">
        <v>Не удалось достоверно установить действующего первого руководителя.</v>
      </c>
      <c r="D175" s="3" t="str">
        <v>Существование и актуальная деятельность подтверждены университетом; следующий национальный конгресс — 2028 год. Отдельный сайт и действующее руководство не установлены.</v>
      </c>
      <c r="E175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75" s="7" t="str">
        <v>https://www.umu.se/en/department-of-historical-philosophical-and-religious-studies/research/our-research-subjects/philosophy/swedish-congress-of-philosophy/</v>
      </c>
      <c r="G175" s="6" t="n">
        <v>46300</v>
      </c>
    </row>
    <row r="176" ht="48" customHeight="1">
      <c r="A176" s="3" t="str">
        <v>Шри-Ланка</v>
      </c>
      <c r="B176" s="3" t="str">
        <v>Национальная организация не определена</v>
      </c>
      <c r="C176" s="3" t="str">
        <v>Не удалось достоверно определить национальное профессиональное объединение.</v>
      </c>
      <c r="D176" s="3" t="str">
        <v>Проверены международные реестры и поисковые запросы; надежное подтверждение национальной организации не найдено.</v>
      </c>
      <c r="E176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6" s="3" t="str">
        <v>Не обнаружен</v>
      </c>
      <c r="G176" s="6" t="n">
        <v>46300</v>
      </c>
    </row>
    <row r="177" ht="87" customHeight="1">
      <c r="A177" s="3" t="str">
        <v>Эквадор</v>
      </c>
      <c r="B177" s="3" t="str">
        <v>Эквадорская философская сеть</v>
      </c>
      <c r="C177" s="3" t="str">
        <v>Не удалось достоверно установить действующего первого руководителя.
Необходимо уточнить юридический статус, профессиональное представительство и наличие первого руководителя децентрализованной сети.</v>
      </c>
      <c r="D177" s="3" t="str">
        <v>Исключение:по манифесту от 01.04.2026 объединяет преподавателей, исследователей и другие философские сообщества всей страны. Это открытая сеть, а не исключительно профессиональное членское общество; центральная высшая должность не обозначена. Собственное издание Fragmenta имеет ISSN, но называется блогом; не внесено в журнальные столбцы. Историческая Asociación Ecuatoriana de Filosofía известна по источнику парламента 2010; ее нынешняя активность не подтверждена.</v>
      </c>
      <c r="E177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</v>
      </c>
      <c r="F177" s="7" t="str">
        <v>https://recfil.org/manifiesto/</v>
      </c>
      <c r="G177" s="6" t="n">
        <v>46300</v>
      </c>
    </row>
    <row r="178" ht="48" customHeight="1">
      <c r="A178" s="3" t="str">
        <v>Экваториальная Гвинея</v>
      </c>
      <c r="B178" s="3" t="str">
        <v>Национальная организация не определена</v>
      </c>
      <c r="C178" s="3" t="str">
        <v>Не удалось достоверно определить национальное профессиональное объединение.</v>
      </c>
      <c r="D178" s="3" t="str">
        <v>Проверены международные реестры и поисковые запросы; надежное подтверждение национальной организации не найдено.</v>
      </c>
      <c r="E178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8" s="3" t="str">
        <v>Не обнаружен</v>
      </c>
      <c r="G178" s="6" t="n">
        <v>46300</v>
      </c>
    </row>
    <row r="179" ht="48" customHeight="1">
      <c r="A179" s="3" t="str">
        <v>Эритрея</v>
      </c>
      <c r="B179" s="3" t="str">
        <v>Национальная организация не определена</v>
      </c>
      <c r="C179" s="3" t="str">
        <v>Не удалось достоверно определить национальное профессиональное объединение.</v>
      </c>
      <c r="D179" s="3" t="str">
        <v>Проверены международные реестры и поисковые запросы; надежное подтверждение национальной организации не найдено.</v>
      </c>
      <c r="E179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79" s="3" t="str">
        <v>Не обнаружен</v>
      </c>
      <c r="G179" s="6" t="n">
        <v>46300</v>
      </c>
    </row>
    <row r="180" ht="48" customHeight="1">
      <c r="A180" s="3" t="str">
        <v>Эсватини</v>
      </c>
      <c r="B180" s="3" t="str">
        <v>Национальная организация не определена</v>
      </c>
      <c r="C180" s="3" t="str">
        <v>Не удалось достоверно определить национальное профессиональное объединение.</v>
      </c>
      <c r="D180" s="3" t="str">
        <v>Проверены международные реестры и поисковые запросы; надежное подтверждение национальной организации не найдено.</v>
      </c>
      <c r="E180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80" s="3" t="str">
        <v>Не обнаружен</v>
      </c>
      <c r="G180" s="6" t="n">
        <v>46300</v>
      </c>
    </row>
    <row r="181" ht="48" customHeight="1">
      <c r="A181" s="3" t="str">
        <v>Эстония</v>
      </c>
      <c r="B181" s="3" t="str">
        <v>Национальная организация не определена</v>
      </c>
      <c r="C181" s="3" t="str">
        <v>Не удалось достоверно определить национальное профессиональное объединение.</v>
      </c>
      <c r="D181" s="3" t="str">
        <v>Проверены международные реестры и поисковые запросы; надежное подтверждение национальной организации не найдено.</v>
      </c>
      <c r="E181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81" s="3" t="str">
        <v>Не обнаружен</v>
      </c>
      <c r="G181" s="6" t="n">
        <v>46300</v>
      </c>
    </row>
    <row r="182" ht="48" customHeight="1">
      <c r="A182" s="3" t="str">
        <v>Эфиопия</v>
      </c>
      <c r="B182" s="3" t="str">
        <v>Национальная организация не определена</v>
      </c>
      <c r="C182" s="3" t="str">
        <v>Не удалось достоверно определить национальное профессиональное объединение.</v>
      </c>
      <c r="D182" s="3" t="str">
        <v>Проверены международные реестры и поисковые запросы; надежное подтверждение национальной организации не найдено.</v>
      </c>
      <c r="E182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82" s="3" t="str">
        <v>Не обнаружен</v>
      </c>
      <c r="G182" s="6" t="n">
        <v>46300</v>
      </c>
    </row>
    <row r="183" ht="48" customHeight="1">
      <c r="A183" s="3" t="str">
        <v>Южный Судан</v>
      </c>
      <c r="B183" s="3" t="str">
        <v>Национальная организация не определена</v>
      </c>
      <c r="C183" s="3" t="str">
        <v>Не удалось достоверно определить национальное профессиональное объединение.</v>
      </c>
      <c r="D183" s="3" t="str">
        <v>Проверены международные реестры и поисковые запросы; надежное подтверждение национальной организации не найдено.</v>
      </c>
      <c r="E183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83" s="3" t="str">
        <v>Не обнаружен</v>
      </c>
      <c r="G183" s="6" t="n">
        <v>46300</v>
      </c>
    </row>
    <row r="184" ht="48" customHeight="1">
      <c r="A184" s="3" t="str">
        <v>Ямайка</v>
      </c>
      <c r="B184" s="3" t="str">
        <v>Национальная организация не определена</v>
      </c>
      <c r="C184" s="3" t="str">
        <v>Не удалось достоверно определить национальное профессиональное объединение.</v>
      </c>
      <c r="D184" s="3" t="str">
        <v>Проверены международные реестры и поисковые запросы; надежное подтверждение национальной организации не найдено.</v>
      </c>
      <c r="E184" s="3" t="str">
        <v>Продолжить поиск на национальном языке; проверить государственные реестры, академии наук, профессиональные конгрессы и новые сообщения о создании объединения.</v>
      </c>
      <c r="F184" s="3" t="str">
        <v>Не обнаружен</v>
      </c>
      <c r="G184" s="6" t="n">
        <v>46300</v>
      </c>
    </row>
    <row r="185" ht="48" customHeight="1">
      <c r="A185" s="3" t="str">
        <v>Япония</v>
      </c>
      <c r="B185" s="3" t="str">
        <v>Философская ассоциация Японии</v>
      </c>
      <c r="C185" s="3" t="str">
        <v>В стране несколько национальных объединений; полномочия и различия требуют сопоставления.</v>
      </c>
      <c r="D185" s="3" t="str">
        <v>Руководитель: 納富信留; Президент (会長). Правление 2025–2026. Широкопрофильное общество, отдельное от федерации JFPS; прямое индивидуальное членство PAJ в FISP не перенесено с федерации.</v>
      </c>
      <c r="E185" s="3" t="str">
        <v>Сопоставить уставы, состав членов, представительские функции и проведение национальных конгрессов.</v>
      </c>
      <c r="F185" s="7" t="str">
        <v>https://philosophy-japan.org/summary/yakuin_2025-2026/</v>
      </c>
      <c r="G185" s="6" t="n">
        <v>46300</v>
      </c>
    </row>
    <row r="186" ht="113" customHeight="1">
      <c r="A186" s="3" t="str">
        <v>Япония</v>
      </c>
      <c r="B186" s="3" t="str">
        <v>Японская федерация философских обществ</v>
      </c>
      <c r="C186" s="3" t="str">
        <v>Не удалось достоверно установить действующего первого руководителя.
Текущий первый руководитель федерации не установлен; официальный доступный источник о председателе относится к 2020 году.
Существование в реестре FISP не подтверждает текущую активность и состав руководства.
В стране несколько национальных объединений; полномочия и различия требуют сопоставления.</v>
      </c>
      <c r="D186" s="3" t="str">
        <v>Федерация философских научных обществ (JFPS), отдельная от 日本哲学会. 野家啓一 фигурирует в официальном заявлении 2020 года; без свежего подтверждения не указан действующим руководителем. Национальное объединение идентифицировано по действующему реестру FISP; современная активность и собственное официальное самоназвание требуют отдельного подтверждения.</v>
      </c>
      <c r="E186" s="3" t="str">
        <v>Получить текущую страницу правления, последние результаты выборов или подтверждение организации; проверить полномочия высшей должности.
Сопоставить уставы, состав членов, представительские функции и проведение национальных конгрессов.
Повторно проверить доступ в обычном браузере; уточнить актуальный домен и официальные контакты.
Найти свежие мероприятия, отчет или официальный ответ о продолжении деятельности.</v>
      </c>
      <c r="F186" s="7" t="str">
        <v>https://www.fisp.org/members/national-societies</v>
      </c>
      <c r="G186" s="6" t="n">
        <v>46300</v>
      </c>
    </row>
  </sheetData>
  <hyperlinks>
    <hyperlink ref="F8" r:id="rIdURL1"/>
    <hyperlink ref="F9" r:id="rIdURL2"/>
    <hyperlink ref="F10" r:id="rIdURL3"/>
    <hyperlink ref="F13" r:id="rIdURL4"/>
    <hyperlink ref="F16" r:id="rIdURL5"/>
    <hyperlink ref="F18" r:id="rIdURL6"/>
    <hyperlink ref="F19" r:id="rIdURL7"/>
    <hyperlink ref="F20" r:id="rIdURL8"/>
    <hyperlink ref="F22" r:id="rIdURL9"/>
    <hyperlink ref="F24" r:id="rIdURL10"/>
    <hyperlink ref="F25" r:id="rIdURL11"/>
    <hyperlink ref="F32" r:id="rIdURL12"/>
    <hyperlink ref="F33" r:id="rIdURL13"/>
    <hyperlink ref="F34" r:id="rIdURL14"/>
    <hyperlink ref="F40" r:id="rIdURL15"/>
    <hyperlink ref="F43" r:id="rIdURL16"/>
    <hyperlink ref="F48" r:id="rIdURL17"/>
    <hyperlink ref="F49" r:id="rIdURL18"/>
    <hyperlink ref="F50" r:id="rIdURL19"/>
    <hyperlink ref="F52" r:id="rIdURL20"/>
    <hyperlink ref="F53" r:id="rIdURL21"/>
    <hyperlink ref="F54" r:id="rIdURL22"/>
    <hyperlink ref="F55" r:id="rIdURL23"/>
    <hyperlink ref="F57" r:id="rIdURL24"/>
    <hyperlink ref="F59" r:id="rIdURL25"/>
    <hyperlink ref="F60" r:id="rIdURL26"/>
    <hyperlink ref="F61" r:id="rIdURL27"/>
    <hyperlink ref="F62" r:id="rIdURL28"/>
    <hyperlink ref="F63" r:id="rIdURL29"/>
    <hyperlink ref="F66" r:id="rIdURL30"/>
    <hyperlink ref="F68" r:id="rIdURL31"/>
    <hyperlink ref="F70" r:id="rIdURL32"/>
    <hyperlink ref="F75" r:id="rIdURL33"/>
    <hyperlink ref="F76" r:id="rIdURL34"/>
    <hyperlink ref="F77" r:id="rIdURL35"/>
    <hyperlink ref="F78" r:id="rIdURL36"/>
    <hyperlink ref="F85" r:id="rIdURL37"/>
    <hyperlink ref="F86" r:id="rIdURL38"/>
    <hyperlink ref="F87" r:id="rIdURL39"/>
    <hyperlink ref="F89" r:id="rIdURL40"/>
    <hyperlink ref="F94" r:id="rIdURL41"/>
    <hyperlink ref="F97" r:id="rIdURL42"/>
    <hyperlink ref="F98" r:id="rIdURL43"/>
    <hyperlink ref="F100" r:id="rIdURL44"/>
    <hyperlink ref="F101" r:id="rIdURL45"/>
    <hyperlink ref="F103" r:id="rIdURL46"/>
    <hyperlink ref="F105" r:id="rIdURL47"/>
    <hyperlink ref="F109" r:id="rIdURL48"/>
    <hyperlink ref="F111" r:id="rIdURL49"/>
    <hyperlink ref="F112" r:id="rIdURL50"/>
    <hyperlink ref="F113" r:id="rIdURL51"/>
    <hyperlink ref="F116" r:id="rIdURL52"/>
    <hyperlink ref="F121" r:id="rIdURL53"/>
    <hyperlink ref="F123" r:id="rIdURL54"/>
    <hyperlink ref="F124" r:id="rIdURL55"/>
    <hyperlink ref="F125" r:id="rIdURL56"/>
    <hyperlink ref="F126" r:id="rIdURL57"/>
    <hyperlink ref="F127" r:id="rIdURL58"/>
    <hyperlink ref="F131" r:id="rIdURL59"/>
    <hyperlink ref="F133" r:id="rIdURL60"/>
    <hyperlink ref="F135" r:id="rIdURL61"/>
    <hyperlink ref="F136" r:id="rIdURL62"/>
    <hyperlink ref="F140" r:id="rIdURL63"/>
    <hyperlink ref="F142" r:id="rIdURL64"/>
    <hyperlink ref="F147" r:id="rIdURL65"/>
    <hyperlink ref="F150" r:id="rIdURL66"/>
    <hyperlink ref="F151" r:id="rIdURL67"/>
    <hyperlink ref="F152" r:id="rIdURL68"/>
    <hyperlink ref="F155" r:id="rIdURL69"/>
    <hyperlink ref="F159" r:id="rIdURL70"/>
    <hyperlink ref="F161" r:id="rIdURL71"/>
    <hyperlink ref="F163" r:id="rIdURL72"/>
    <hyperlink ref="F164" r:id="rIdURL73"/>
    <hyperlink ref="F167" r:id="rIdURL74"/>
    <hyperlink ref="F168" r:id="rIdURL75"/>
    <hyperlink ref="F169" r:id="rIdURL76"/>
    <hyperlink ref="F172" r:id="rIdURL77"/>
    <hyperlink ref="F173" r:id="rIdURL78"/>
    <hyperlink ref="F174" r:id="rIdURL79"/>
    <hyperlink ref="F175" r:id="rIdURL80"/>
    <hyperlink ref="F177" r:id="rIdURL81"/>
    <hyperlink ref="F185" r:id="rIdURL82"/>
    <hyperlink ref="F186" r:id="rIdURL83"/>
  </hyperlinks>
  <pageMargins left="0.7" right="0.7" top="0.75" bottom="0.75" header="0.3" footer="0.3"/>
  <tableParts count="1">
    <tablePart r:id="R8631c04609ca46c6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34E7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28" hidden="0" customWidth="1"/>
    <col min="3" max="3" width="41" hidden="0" customWidth="1"/>
    <col min="4" max="4" width="50" hidden="0" customWidth="1"/>
    <col min="5" max="5" width="78" hidden="0" customWidth="1"/>
    <col min="6" max="6" width="55" hidden="0" customWidth="1"/>
    <col min="7" max="7" width="75" hidden="0" customWidth="1"/>
    <col min="8" max="8" width="21" hidden="0" customWidth="1"/>
    <col min="9" max="9" width="28" hidden="0" customWidth="1"/>
    <col min="10" max="10" width="27" hidden="0" customWidth="1"/>
  </cols>
  <sheetData>
    <row r="1" ht="85" customHeight="1">
      <c r="A1" s="5" t="str">
        <v>Страна</v>
      </c>
      <c r="B1" s="5" t="str">
        <v>Регион</v>
      </c>
      <c r="C1" s="5" t="str">
        <v>Результат исследования</v>
      </c>
      <c r="D1" s="5" t="str">
        <v>Найденные объединения</v>
      </c>
      <c r="E1" s="5" t="str">
        <v>Проверенные поисковые запросы</v>
      </c>
      <c r="F1" s="5" t="str">
        <v>Основной источник</v>
      </c>
      <c r="G1" s="5" t="str">
        <v>Примечание</v>
      </c>
      <c r="H1" s="5" t="str">
        <v>Дата проверки</v>
      </c>
      <c r="I1" s="5" t="str">
        <v>Объем охвата</v>
      </c>
      <c r="J1" s="5" t="str">
        <v>Число строк реестра для региональной сводки</v>
      </c>
    </row>
    <row r="2" ht="48" customHeight="1">
      <c r="A2" s="3" t="str">
        <v>Австралия</v>
      </c>
      <c r="B2" s="3" t="str">
        <v>Австралия</v>
      </c>
      <c r="C2" s="3" t="str">
        <v>Объединение обнаружено</v>
      </c>
      <c r="D2" s="3" t="str">
        <v>Австралазийская философская ассоциация</v>
      </c>
      <c r="E2" s="3" t="str">
        <v>Проверены реестры FISP / региональных федераций и первичные страницы найденной организации.</v>
      </c>
      <c r="F2" s="7" t="str">
        <v>https://aap.org.au/about/Board</v>
      </c>
      <c r="G2" s="3" t="str">
        <v>Основной охват: 193 государства — члены ООН и два государства-наблюдателя. AAP объединяет Австралию, Новую Зеландию и Сингапур; одна организация учтена один раз, в регионе Австралия.</v>
      </c>
      <c r="H2" s="6" t="n">
        <v>46300</v>
      </c>
      <c r="I2" s="3" t="str">
        <v>Основной охват</v>
      </c>
      <c r="J2" s="8" t="n">
        <v>1</v>
      </c>
    </row>
    <row r="3" ht="48" customHeight="1">
      <c r="A3" s="3" t="str">
        <v>Австрия</v>
      </c>
      <c r="B3" s="3" t="str">
        <v>Западная Европа</v>
      </c>
      <c r="C3" s="3" t="str">
        <v>Объединение обнаружено</v>
      </c>
      <c r="D3" s="3" t="str">
        <v>Австрийское философское общество</v>
      </c>
      <c r="E3" s="3" t="str">
        <v>Проверены реестры FISP / региональных федераций и первичные страницы найденной организации.</v>
      </c>
      <c r="F3" s="7" t="str">
        <v>https://oegp.org/</v>
      </c>
      <c r="G3" s="3" t="str">
        <v>Основной охват: 193 государства — члены ООН и два государства-наблюдателя.</v>
      </c>
      <c r="H3" s="6" t="n">
        <v>46300</v>
      </c>
      <c r="I3" s="3" t="str">
        <v>Основной охват</v>
      </c>
      <c r="J3" s="8" t="n">
        <v>1</v>
      </c>
    </row>
    <row r="4" ht="48" customHeight="1">
      <c r="A4" s="3" t="str">
        <v>Азербайджан</v>
      </c>
      <c r="B4" s="3" t="str">
        <v>Кавказ</v>
      </c>
      <c r="C4" s="3" t="str">
        <v>Не удалось достоверно определить</v>
      </c>
      <c r="D4" s="3" t="str">
        <v>Не обнаружен</v>
      </c>
      <c r="E4" s="3" t="str">
        <v>Azərbaycan Fəlsəfə cəmiyyəti assosiasiyası filosoflar
"Azərbaycan" "fəlsəfə cəmiyyəti"</v>
      </c>
      <c r="F4" s="3" t="str">
        <v>Не обнаружен</v>
      </c>
      <c r="G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" s="6" t="n">
        <v>46300</v>
      </c>
      <c r="I4" s="3" t="str">
        <v>Основной охват</v>
      </c>
      <c r="J4" s="8" t="n">
        <v>0</v>
      </c>
    </row>
    <row r="5" ht="48" customHeight="1">
      <c r="A5" s="3" t="str">
        <v>Албания</v>
      </c>
      <c r="B5" s="3" t="str">
        <v>Южная Европа</v>
      </c>
      <c r="C5" s="3" t="str">
        <v>Не удалось достоверно определить</v>
      </c>
      <c r="D5" s="3" t="str">
        <v>Не обнаружен</v>
      </c>
      <c r="E5" s="3" t="str">
        <v>Shqipëri shoqata filozofisë filozofëve philosophical association
"Shoqata" "filozof" Shqipërisë</v>
      </c>
      <c r="F5" s="3" t="str">
        <v>Не обнаружен</v>
      </c>
      <c r="G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5" s="6" t="n">
        <v>46300</v>
      </c>
      <c r="I5" s="3" t="str">
        <v>Основной охват</v>
      </c>
      <c r="J5" s="8" t="n">
        <v>0</v>
      </c>
    </row>
    <row r="6" ht="48" customHeight="1">
      <c r="A6" s="3" t="str">
        <v>Алжир</v>
      </c>
      <c r="B6" s="3" t="str">
        <v>Северная Африка</v>
      </c>
      <c r="C6" s="3" t="str">
        <v>Не удалось достоверно определить</v>
      </c>
      <c r="D6" s="3" t="str">
        <v>Не обнаружен</v>
      </c>
      <c r="E6" s="3" t="str">
        <v>"الجمعية الجزائرية للفلسفة" OR "Société algérienne de philosophie"</v>
      </c>
      <c r="F6" s="3" t="str">
        <v>Не обнаружен</v>
      </c>
      <c r="G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6" s="6" t="n">
        <v>46300</v>
      </c>
      <c r="I6" s="3" t="str">
        <v>Основной охват</v>
      </c>
      <c r="J6" s="8" t="n">
        <v>0</v>
      </c>
    </row>
    <row r="7" ht="48" customHeight="1">
      <c r="A7" s="3" t="str">
        <v>Ангола</v>
      </c>
      <c r="B7" s="3" t="str">
        <v>Центральная Африка</v>
      </c>
      <c r="C7" s="3" t="str">
        <v>Не удалось достоверно определить</v>
      </c>
      <c r="D7" s="3" t="str">
        <v>Не обнаружен</v>
      </c>
      <c r="E7" s="3" t="str">
        <v>"Angola" associação filosofia filósofos</v>
      </c>
      <c r="F7" s="3" t="str">
        <v>Не обнаружен</v>
      </c>
      <c r="G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" s="6" t="n">
        <v>46300</v>
      </c>
      <c r="I7" s="3" t="str">
        <v>Основной охват</v>
      </c>
      <c r="J7" s="8" t="n">
        <v>0</v>
      </c>
    </row>
    <row r="8" ht="48" customHeight="1">
      <c r="A8" s="3" t="str">
        <v>Андорра</v>
      </c>
      <c r="B8" s="3" t="str">
        <v>Южная Европа</v>
      </c>
      <c r="C8" s="3" t="str">
        <v>Не удалось достоверно определить</v>
      </c>
      <c r="D8" s="3" t="str">
        <v>Не обнаружен</v>
      </c>
      <c r="E8" s="3" t="str">
        <v>Andorra associació societat filosofia philosophical society</v>
      </c>
      <c r="F8" s="3" t="str">
        <v>Не обнаружен</v>
      </c>
      <c r="G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" s="6" t="n">
        <v>46300</v>
      </c>
      <c r="I8" s="3" t="str">
        <v>Основной охват</v>
      </c>
      <c r="J8" s="8" t="n">
        <v>0</v>
      </c>
    </row>
    <row r="9" ht="48" customHeight="1">
      <c r="A9" s="3" t="str">
        <v>Антигуа и Барбуда</v>
      </c>
      <c r="B9" s="3" t="str">
        <v>Карибский бассейн</v>
      </c>
      <c r="C9" s="3" t="str">
        <v>Не удалось достоверно определить</v>
      </c>
      <c r="D9" s="3" t="str">
        <v>Не обнаружен</v>
      </c>
      <c r="E9" s="3" t="str">
        <v>"Antigua and Barbuda" philosophical society association</v>
      </c>
      <c r="F9" s="3" t="str">
        <v>Не обнаружен</v>
      </c>
      <c r="G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" s="6" t="n">
        <v>46300</v>
      </c>
      <c r="I9" s="3" t="str">
        <v>Основной охват</v>
      </c>
      <c r="J9" s="8" t="n">
        <v>0</v>
      </c>
    </row>
    <row r="10" ht="48" customHeight="1">
      <c r="A10" s="3" t="str">
        <v>Аргентина</v>
      </c>
      <c r="B10" s="3" t="str">
        <v>Южная Америка</v>
      </c>
      <c r="C10" s="3" t="str">
        <v>Объединение обнаружено</v>
      </c>
      <c r="D10" s="3" t="str">
        <v>Аргентинская философская ассоциация
Аргентинское философское общество</v>
      </c>
      <c r="E10" s="3" t="str">
        <v>Проверены реестры FISP / региональных федераций и первичные страницы найденной организации.</v>
      </c>
      <c r="F10" s="7" t="str">
        <v>https://afra.org.ar/</v>
      </c>
      <c r="G10" s="3" t="str">
        <v>Основной охват: 193 государства — члены ООН и два государства-наблюдателя.</v>
      </c>
      <c r="H10" s="6" t="n">
        <v>46300</v>
      </c>
      <c r="I10" s="3" t="str">
        <v>Основной охват</v>
      </c>
      <c r="J10" s="8" t="n">
        <v>2</v>
      </c>
    </row>
    <row r="11" ht="48" customHeight="1">
      <c r="A11" s="3" t="str">
        <v>Армения</v>
      </c>
      <c r="B11" s="3" t="str">
        <v>Кавказ</v>
      </c>
      <c r="C11" s="3" t="str">
        <v>Объединение обнаружено</v>
      </c>
      <c r="D11" s="3" t="str">
        <v>Армянская философская академия</v>
      </c>
      <c r="E11" s="3" t="str">
        <v>Проверены реестры FISP / региональных федераций и первичные страницы найденной организации.</v>
      </c>
      <c r="F11" s="7" t="str">
        <v>https://www.fisp.org/members/national-societies</v>
      </c>
      <c r="G11" s="3" t="str">
        <v>Основной охват: 193 государства — члены ООН и два государства-наблюдателя.</v>
      </c>
      <c r="H11" s="6" t="n">
        <v>46300</v>
      </c>
      <c r="I11" s="3" t="str">
        <v>Основной охват</v>
      </c>
      <c r="J11" s="8" t="n">
        <v>1</v>
      </c>
    </row>
    <row r="12" ht="48" customHeight="1">
      <c r="A12" s="3" t="str">
        <v>Афганистан</v>
      </c>
      <c r="B12" s="3" t="str">
        <v>Южная Азия</v>
      </c>
      <c r="C12" s="3" t="str">
        <v>Не удалось достоверно определить</v>
      </c>
      <c r="D12" s="3" t="str">
        <v>Не обнаружен</v>
      </c>
      <c r="E12" s="3" t="str">
        <v>Afghanistan فلسفه انجمن فیلسوفان</v>
      </c>
      <c r="F12" s="3" t="str">
        <v>Не обнаружен</v>
      </c>
      <c r="G1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" s="6" t="n">
        <v>46300</v>
      </c>
      <c r="I12" s="3" t="str">
        <v>Основной охват</v>
      </c>
      <c r="J12" s="8" t="n">
        <v>0</v>
      </c>
    </row>
    <row r="13" ht="48" customHeight="1">
      <c r="A13" s="3" t="str">
        <v>Багамы</v>
      </c>
      <c r="B13" s="3" t="str">
        <v>Карибский бассейн</v>
      </c>
      <c r="C13" s="3" t="str">
        <v>Не удалось достоверно определить</v>
      </c>
      <c r="D13" s="3" t="str">
        <v>Не обнаружен</v>
      </c>
      <c r="E13" s="3" t="str">
        <v>"Bahamas" philosophical society association</v>
      </c>
      <c r="F13" s="3" t="str">
        <v>Не обнаружен</v>
      </c>
      <c r="G1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3" s="6" t="n">
        <v>46300</v>
      </c>
      <c r="I13" s="3" t="str">
        <v>Основной охват</v>
      </c>
      <c r="J13" s="8" t="n">
        <v>0</v>
      </c>
    </row>
    <row r="14" ht="48" customHeight="1">
      <c r="A14" s="3" t="str">
        <v>Бангладеш</v>
      </c>
      <c r="B14" s="3" t="str">
        <v>Южная Азия</v>
      </c>
      <c r="C14" s="3" t="str">
        <v>Объединение обнаружено</v>
      </c>
      <c r="D14" s="3" t="str">
        <v>Бангладешское философское общество</v>
      </c>
      <c r="E14" s="3" t="str">
        <v>বাংলাদেশ দর্শন সমিতি সভাপতি ২০২৬</v>
      </c>
      <c r="F14" s="7" t="str">
        <v>https://www.bssnews.net/news-flash/410663</v>
      </c>
      <c r="G14" s="3" t="str">
        <v>Основной охват: 193 государства — члены ООН и два государства-наблюдателя.</v>
      </c>
      <c r="H14" s="6" t="n">
        <v>46300</v>
      </c>
      <c r="I14" s="3" t="str">
        <v>Основной охват</v>
      </c>
      <c r="J14" s="8" t="n">
        <v>1</v>
      </c>
    </row>
    <row r="15" ht="48" customHeight="1">
      <c r="A15" s="3" t="str">
        <v>Барбадос</v>
      </c>
      <c r="B15" s="3" t="str">
        <v>Карибский бассейн</v>
      </c>
      <c r="C15" s="3" t="str">
        <v>Не удалось достоверно определить</v>
      </c>
      <c r="D15" s="3" t="str">
        <v>Не обнаружен</v>
      </c>
      <c r="E15" s="3" t="str">
        <v>"Barbados" philosophical society association</v>
      </c>
      <c r="F15" s="3" t="str">
        <v>Не обнаружен</v>
      </c>
      <c r="G1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" s="6" t="n">
        <v>46300</v>
      </c>
      <c r="I15" s="3" t="str">
        <v>Основной охват</v>
      </c>
      <c r="J15" s="8" t="n">
        <v>0</v>
      </c>
    </row>
    <row r="16" ht="48" customHeight="1">
      <c r="A16" s="3" t="str">
        <v>Бахрейн</v>
      </c>
      <c r="B16" s="3" t="str">
        <v>Ближний Восток</v>
      </c>
      <c r="C16" s="3" t="str">
        <v>Не удалось достоверно определить</v>
      </c>
      <c r="D16" s="3" t="str">
        <v>Не обнаружен</v>
      </c>
      <c r="E16" s="3" t="str">
        <v>"Bahrain" philosophical society جمعية فلسفة البحرين</v>
      </c>
      <c r="F16" s="3" t="str">
        <v>Не обнаружен</v>
      </c>
      <c r="G1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" s="6" t="n">
        <v>46300</v>
      </c>
      <c r="I16" s="3" t="str">
        <v>Основной охват</v>
      </c>
      <c r="J16" s="8" t="n">
        <v>0</v>
      </c>
    </row>
    <row r="17" ht="48" customHeight="1">
      <c r="A17" s="3" t="str">
        <v>Беларусь</v>
      </c>
      <c r="B17" s="3" t="str">
        <v>Восточная Европа</v>
      </c>
      <c r="C17" s="3" t="str">
        <v>Объединение обнаружено</v>
      </c>
      <c r="D17" s="3" t="str">
        <v>Белорусское философское общество</v>
      </c>
      <c r="E17" s="3" t="str">
        <v>Не удалось достоверно установить</v>
      </c>
      <c r="F17" s="7" t="str">
        <v>https://philosophy.by/en/community/society/</v>
      </c>
      <c r="G17" s="3" t="str">
        <v>Основной охват: 193 государства — члены ООН и два государства-наблюдателя.</v>
      </c>
      <c r="H17" s="6" t="n">
        <v>46300</v>
      </c>
      <c r="I17" s="3" t="str">
        <v>Основной охват</v>
      </c>
      <c r="J17" s="8" t="n">
        <v>1</v>
      </c>
    </row>
    <row r="18" ht="48" customHeight="1">
      <c r="A18" s="3" t="str">
        <v>Белиз</v>
      </c>
      <c r="B18" s="3" t="str">
        <v>Центральная Америка</v>
      </c>
      <c r="C18" s="3" t="str">
        <v>Не удалось достоверно определить</v>
      </c>
      <c r="D18" s="3" t="str">
        <v>Не обнаружен</v>
      </c>
      <c r="E18" s="3" t="str">
        <v>"Belize" "philosophical society" OR "philosophy association"</v>
      </c>
      <c r="F18" s="3" t="str">
        <v>Не обнаружен</v>
      </c>
      <c r="G1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8" s="6" t="n">
        <v>46300</v>
      </c>
      <c r="I18" s="3" t="str">
        <v>Основной охват</v>
      </c>
      <c r="J18" s="8" t="n">
        <v>0</v>
      </c>
    </row>
    <row r="19" ht="48" customHeight="1">
      <c r="A19" s="3" t="str">
        <v>Бельгия</v>
      </c>
      <c r="B19" s="3" t="str">
        <v>Западная Европа</v>
      </c>
      <c r="C19" s="3" t="str">
        <v>Объединение обнаружено</v>
      </c>
      <c r="D19" s="3" t="str">
        <v>Бельгийское философское общество</v>
      </c>
      <c r="E19" s="3" t="str">
        <v>Проверены реестры FISP / региональных федераций и первичные страницы найденной организации.</v>
      </c>
      <c r="F19" s="7" t="str">
        <v>https://asplf.org/liste-des-societes/</v>
      </c>
      <c r="G19" s="3" t="str">
        <v>Основной охват: 193 государства — члены ООН и два государства-наблюдателя.</v>
      </c>
      <c r="H19" s="6" t="n">
        <v>46300</v>
      </c>
      <c r="I19" s="3" t="str">
        <v>Основной охват</v>
      </c>
      <c r="J19" s="8" t="n">
        <v>1</v>
      </c>
    </row>
    <row r="20" ht="48" customHeight="1">
      <c r="A20" s="3" t="str">
        <v>Бенин</v>
      </c>
      <c r="B20" s="3" t="str">
        <v>Западная Африка</v>
      </c>
      <c r="C20" s="3" t="str">
        <v>Объединение обнаружено</v>
      </c>
      <c r="D20" s="3" t="str">
        <v>Бенинское философское общество</v>
      </c>
      <c r="E20" s="3" t="str">
        <v>Проверены реестры FISP / региональных федераций и первичные страницы найденной организации.</v>
      </c>
      <c r="F20" s="7" t="str">
        <v>https://asplf.org/liste-des-societes/</v>
      </c>
      <c r="G20" s="3" t="str">
        <v>Основной охват: 193 государства — члены ООН и два государства-наблюдателя.</v>
      </c>
      <c r="H20" s="6" t="n">
        <v>46300</v>
      </c>
      <c r="I20" s="3" t="str">
        <v>Основной охват</v>
      </c>
      <c r="J20" s="8" t="n">
        <v>1</v>
      </c>
    </row>
    <row r="21" ht="48" customHeight="1">
      <c r="A21" s="3" t="str">
        <v>Болгария</v>
      </c>
      <c r="B21" s="3" t="str">
        <v>Восточная Европа</v>
      </c>
      <c r="C21" s="3" t="str">
        <v>Объединение обнаружено</v>
      </c>
      <c r="D21" s="3" t="str">
        <v>Болгарское философское общество</v>
      </c>
      <c r="E21" s="3" t="str">
        <v>Проверены реестры FISP / региональных федераций и первичные страницы найденной организации.</v>
      </c>
      <c r="F21" s="7" t="str">
        <v>https://bulgarianphilosophicalsociety.wordpress.com/</v>
      </c>
      <c r="G21" s="3" t="str">
        <v>Основной охват: 193 государства — члены ООН и два государства-наблюдателя.</v>
      </c>
      <c r="H21" s="6" t="n">
        <v>46300</v>
      </c>
      <c r="I21" s="3" t="str">
        <v>Основной охват</v>
      </c>
      <c r="J21" s="8" t="n">
        <v>1</v>
      </c>
    </row>
    <row r="22" ht="48" customHeight="1">
      <c r="A22" s="3" t="str">
        <v>Боливия</v>
      </c>
      <c r="B22" s="3" t="str">
        <v>Южная Америка</v>
      </c>
      <c r="C22" s="3" t="str">
        <v>Не удалось достоверно определить</v>
      </c>
      <c r="D22" s="3" t="str">
        <v>Не обнаружен</v>
      </c>
      <c r="E22" s="3" t="str">
        <v>"Bolivia" "sociedad" "filosofía" nacional</v>
      </c>
      <c r="F22" s="3" t="str">
        <v>Не обнаружен</v>
      </c>
      <c r="G2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2" s="6" t="n">
        <v>46300</v>
      </c>
      <c r="I22" s="3" t="str">
        <v>Основной охват</v>
      </c>
      <c r="J22" s="8" t="n">
        <v>0</v>
      </c>
    </row>
    <row r="23" ht="48" customHeight="1">
      <c r="A23" s="3" t="str">
        <v>Босния и Герцеговина</v>
      </c>
      <c r="B23" s="3" t="str">
        <v>Южная Европа</v>
      </c>
      <c r="C23" s="3" t="str">
        <v>Объединение обнаружено</v>
      </c>
      <c r="D23" s="3" t="str">
        <v>Философское общество «Theoria»</v>
      </c>
      <c r="E23" s="3" t="str">
        <v>Bosna Hercegovina filozofsko društvo udruženje filozofa</v>
      </c>
      <c r="F23" s="7" t="str">
        <v>https://www.fdt.ba/o-nama/</v>
      </c>
      <c r="G23" s="3" t="str">
        <v>Основной охват: 193 государства — члены ООН и два государства-наблюдателя.</v>
      </c>
      <c r="H23" s="6" t="n">
        <v>46300</v>
      </c>
      <c r="I23" s="3" t="str">
        <v>Основной охват</v>
      </c>
      <c r="J23" s="8" t="n">
        <v>1</v>
      </c>
    </row>
    <row r="24" ht="48" customHeight="1">
      <c r="A24" s="3" t="str">
        <v>Ботсвана</v>
      </c>
      <c r="B24" s="3" t="str">
        <v>Южная Африка</v>
      </c>
      <c r="C24" s="3" t="str">
        <v>Не удалось достоверно определить</v>
      </c>
      <c r="D24" s="3" t="str">
        <v>Не обнаружен</v>
      </c>
      <c r="E24" s="3" t="str">
        <v>"Botswana" philosophical society association</v>
      </c>
      <c r="F24" s="3" t="str">
        <v>Не обнаружен</v>
      </c>
      <c r="G2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4" s="6" t="n">
        <v>46300</v>
      </c>
      <c r="I24" s="3" t="str">
        <v>Основной охват</v>
      </c>
      <c r="J24" s="8" t="n">
        <v>0</v>
      </c>
    </row>
    <row r="25" ht="48" customHeight="1">
      <c r="A25" s="3" t="str">
        <v>Бразилия</v>
      </c>
      <c r="B25" s="3" t="str">
        <v>Южная Америка</v>
      </c>
      <c r="C25" s="3" t="str">
        <v>Объединение обнаружено</v>
      </c>
      <c r="D25" s="3" t="str">
        <v>Бразильская академия философии
Национальная ассоциация последипломного образования по философии</v>
      </c>
      <c r="E25" s="3" t="str">
        <v>Проверены реестры FISP / региональных федераций и первичные страницы найденной организации.</v>
      </c>
      <c r="F25" s="7" t="str">
        <v>https://www.academia-de-filosofia.org.br/academia</v>
      </c>
      <c r="G25" s="3" t="str">
        <v>Основной охват: 193 государства — члены ООН и два государства-наблюдателя.</v>
      </c>
      <c r="H25" s="6" t="n">
        <v>46300</v>
      </c>
      <c r="I25" s="3" t="str">
        <v>Основной охват</v>
      </c>
      <c r="J25" s="8" t="n">
        <v>2</v>
      </c>
    </row>
    <row r="26" ht="48" customHeight="1">
      <c r="A26" s="3" t="str">
        <v>Бруней</v>
      </c>
      <c r="B26" s="3" t="str">
        <v>Юго-Восточная Азия</v>
      </c>
      <c r="C26" s="3" t="str">
        <v>Не удалось достоверно определить</v>
      </c>
      <c r="D26" s="3" t="str">
        <v>Не обнаружен</v>
      </c>
      <c r="E26" s="3" t="str">
        <v>Brunei philosophical association society philosophy</v>
      </c>
      <c r="F26" s="3" t="str">
        <v>Не обнаружен</v>
      </c>
      <c r="G2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6" s="6" t="n">
        <v>46300</v>
      </c>
      <c r="I26" s="3" t="str">
        <v>Основной охват</v>
      </c>
      <c r="J26" s="8" t="n">
        <v>0</v>
      </c>
    </row>
    <row r="27" ht="48" customHeight="1">
      <c r="A27" s="3" t="str">
        <v>Буркина-Фасо</v>
      </c>
      <c r="B27" s="3" t="str">
        <v>Западная Африка</v>
      </c>
      <c r="C27" s="3" t="str">
        <v>Не удалось достоверно определить</v>
      </c>
      <c r="D27" s="3" t="str">
        <v>Не обнаружен</v>
      </c>
      <c r="E27" s="3" t="str">
        <v>"Burkina" "société" "philosophie" association</v>
      </c>
      <c r="F27" s="3" t="str">
        <v>Не обнаружен</v>
      </c>
      <c r="G2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7" s="6" t="n">
        <v>46300</v>
      </c>
      <c r="I27" s="3" t="str">
        <v>Основной охват</v>
      </c>
      <c r="J27" s="8" t="n">
        <v>0</v>
      </c>
    </row>
    <row r="28" ht="48" customHeight="1">
      <c r="A28" s="3" t="str">
        <v>Бурунди</v>
      </c>
      <c r="B28" s="3" t="str">
        <v>Восточная Африка</v>
      </c>
      <c r="C28" s="3" t="str">
        <v>Не удалось достоверно определить</v>
      </c>
      <c r="D28" s="3" t="str">
        <v>Не обнаружен</v>
      </c>
      <c r="E28" s="3" t="str">
        <v>"Burundi" "association" "philosophie"</v>
      </c>
      <c r="F28" s="3" t="str">
        <v>Не обнаружен</v>
      </c>
      <c r="G2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8" s="6" t="n">
        <v>46300</v>
      </c>
      <c r="I28" s="3" t="str">
        <v>Основной охват</v>
      </c>
      <c r="J28" s="8" t="n">
        <v>0</v>
      </c>
    </row>
    <row r="29" ht="48" customHeight="1">
      <c r="A29" s="3" t="str">
        <v>Бутан</v>
      </c>
      <c r="B29" s="3" t="str">
        <v>Южная Азия</v>
      </c>
      <c r="C29" s="3" t="str">
        <v>Не удалось достоверно определить</v>
      </c>
      <c r="D29" s="3" t="str">
        <v>Не обнаружен</v>
      </c>
      <c r="E29" s="3" t="str">
        <v>Bhutan philosophy association philosophical society</v>
      </c>
      <c r="F29" s="3" t="str">
        <v>Не обнаружен</v>
      </c>
      <c r="G2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29" s="6" t="n">
        <v>46300</v>
      </c>
      <c r="I29" s="3" t="str">
        <v>Основной охват</v>
      </c>
      <c r="J29" s="8" t="n">
        <v>0</v>
      </c>
    </row>
    <row r="30" ht="48" customHeight="1">
      <c r="A30" s="3" t="str">
        <v>Вануату</v>
      </c>
      <c r="B30" s="3" t="str">
        <v>Океания</v>
      </c>
      <c r="C30" s="3" t="str">
        <v>Не удалось достоверно определить</v>
      </c>
      <c r="D30" s="3" t="str">
        <v>Не обнаружен</v>
      </c>
      <c r="E30" s="3" t="str">
        <v>"Vanuatu" association philosophie society philosophy</v>
      </c>
      <c r="F30" s="3" t="str">
        <v>Не обнаружен</v>
      </c>
      <c r="G3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0" s="6" t="n">
        <v>46300</v>
      </c>
      <c r="I30" s="3" t="str">
        <v>Основной охват</v>
      </c>
      <c r="J30" s="8" t="n">
        <v>0</v>
      </c>
    </row>
    <row r="31" ht="48" customHeight="1">
      <c r="A31" s="3" t="str">
        <v>Ватикан</v>
      </c>
      <c r="B31" s="3" t="str">
        <v>Южная Европа</v>
      </c>
      <c r="C31" s="3" t="str">
        <v>Не удалось достоверно определить</v>
      </c>
      <c r="D31" s="3" t="str">
        <v>Не обнаружен</v>
      </c>
      <c r="E31" s="3" t="str">
        <v>Vatican national philosophical society association philosophers</v>
      </c>
      <c r="F31" s="3" t="str">
        <v>Не обнаружен</v>
      </c>
      <c r="G3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1" s="6" t="n">
        <v>46300</v>
      </c>
      <c r="I31" s="3" t="str">
        <v>Основной охват</v>
      </c>
      <c r="J31" s="8" t="n">
        <v>0</v>
      </c>
    </row>
    <row r="32" ht="48" customHeight="1">
      <c r="A32" s="3" t="str">
        <v>Великобритания</v>
      </c>
      <c r="B32" s="3" t="str">
        <v>Северная Европа</v>
      </c>
      <c r="C32" s="3" t="str">
        <v>Объединение обнаружено</v>
      </c>
      <c r="D32" s="3" t="str">
        <v>Аристотелевское общество
Британская философская ассоциация</v>
      </c>
      <c r="E32" s="3" t="str">
        <v>Проверены реестры FISP / региональных федераций и первичные страницы найденной организации.</v>
      </c>
      <c r="F32" s="7" t="str">
        <v>https://www.aristoteliansociety.org.uk/about/</v>
      </c>
      <c r="G32" s="3" t="str">
        <v>Основной охват: 193 государства — члены ООН и два государства-наблюдателя.</v>
      </c>
      <c r="H32" s="6" t="n">
        <v>46300</v>
      </c>
      <c r="I32" s="3" t="str">
        <v>Основной охват</v>
      </c>
      <c r="J32" s="8" t="n">
        <v>2</v>
      </c>
    </row>
    <row r="33" ht="48" customHeight="1">
      <c r="A33" s="3" t="str">
        <v>Венгрия</v>
      </c>
      <c r="B33" s="3" t="str">
        <v>Восточная Европа</v>
      </c>
      <c r="C33" s="3" t="str">
        <v>Объединение обнаружено</v>
      </c>
      <c r="D33" s="3" t="str">
        <v>Венгерское философское общество</v>
      </c>
      <c r="E33" s="3" t="str">
        <v>Проверены реестры FISP / региональных федераций и первичные страницы найденной организации.</v>
      </c>
      <c r="F33" s="7" t="str">
        <v>https://magyarfilozofiaitarsasag.wordpress.com/alapszabaly/</v>
      </c>
      <c r="G33" s="3" t="str">
        <v>Основной охват: 193 государства — члены ООН и два государства-наблюдателя.</v>
      </c>
      <c r="H33" s="6" t="n">
        <v>46300</v>
      </c>
      <c r="I33" s="3" t="str">
        <v>Основной охват</v>
      </c>
      <c r="J33" s="8" t="n">
        <v>1</v>
      </c>
    </row>
    <row r="34" ht="48" customHeight="1">
      <c r="A34" s="3" t="str">
        <v>Венесуэла</v>
      </c>
      <c r="B34" s="3" t="str">
        <v>Южная Америка</v>
      </c>
      <c r="C34" s="3" t="str">
        <v>Объединение обнаружено</v>
      </c>
      <c r="D34" s="3" t="str">
        <v>Венесуэльское философское общество</v>
      </c>
      <c r="E34" s="3" t="str">
        <v>Проверены реестры FISP / региональных федераций и первичные страницы найденной организации.</v>
      </c>
      <c r="F34" s="7" t="str">
        <v>https://www.fisp.org/members/national-societies</v>
      </c>
      <c r="G34" s="3" t="str">
        <v>Основной охват: 193 государства — члены ООН и два государства-наблюдателя.</v>
      </c>
      <c r="H34" s="6" t="n">
        <v>46300</v>
      </c>
      <c r="I34" s="3" t="str">
        <v>Основной охват</v>
      </c>
      <c r="J34" s="8" t="n">
        <v>1</v>
      </c>
    </row>
    <row r="35" ht="48" customHeight="1">
      <c r="A35" s="3" t="str">
        <v>Вьетнам</v>
      </c>
      <c r="B35" s="3" t="str">
        <v>Юго-Восточная Азия</v>
      </c>
      <c r="C35" s="3" t="str">
        <v>Объединение обнаружено</v>
      </c>
      <c r="D35" s="3" t="str">
        <v>Философская ассоциация Вьетнама</v>
      </c>
      <c r="E35" s="3" t="str">
        <v>Проверены реестры FISP / региональных федераций и первичные страницы найденной организации.</v>
      </c>
      <c r="F35" s="7" t="str">
        <v>https://hoitriethoc.com/</v>
      </c>
      <c r="G35" s="3" t="str">
        <v>Основной охват: 193 государства — члены ООН и два государства-наблюдателя.</v>
      </c>
      <c r="H35" s="6" t="n">
        <v>46300</v>
      </c>
      <c r="I35" s="3" t="str">
        <v>Основной охват</v>
      </c>
      <c r="J35" s="8" t="n">
        <v>1</v>
      </c>
    </row>
    <row r="36" ht="48" customHeight="1">
      <c r="A36" s="3" t="str">
        <v>Габон</v>
      </c>
      <c r="B36" s="3" t="str">
        <v>Центральная Африка</v>
      </c>
      <c r="C36" s="3" t="str">
        <v>Не удалось достоверно определить</v>
      </c>
      <c r="D36" s="3" t="str">
        <v>Не обнаружен</v>
      </c>
      <c r="E36" s="3" t="str">
        <v>"Gabon" "société" "philosophie" association</v>
      </c>
      <c r="F36" s="3" t="str">
        <v>Не обнаружен</v>
      </c>
      <c r="G3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6" s="6" t="n">
        <v>46300</v>
      </c>
      <c r="I36" s="3" t="str">
        <v>Основной охват</v>
      </c>
      <c r="J36" s="8" t="n">
        <v>0</v>
      </c>
    </row>
    <row r="37" ht="48" customHeight="1">
      <c r="A37" s="3" t="str">
        <v>Гаити</v>
      </c>
      <c r="B37" s="3" t="str">
        <v>Карибский бассейн</v>
      </c>
      <c r="C37" s="3" t="str">
        <v>Не удалось достоверно определить</v>
      </c>
      <c r="D37" s="3" t="str">
        <v>Не обнаружен</v>
      </c>
      <c r="E37" s="3" t="str">
        <v>"Haïti" "société" "philosophie" association</v>
      </c>
      <c r="F37" s="3" t="str">
        <v>Не обнаружен</v>
      </c>
      <c r="G3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7" s="6" t="n">
        <v>46300</v>
      </c>
      <c r="I37" s="3" t="str">
        <v>Основной охват</v>
      </c>
      <c r="J37" s="8" t="n">
        <v>0</v>
      </c>
    </row>
    <row r="38" ht="48" customHeight="1">
      <c r="A38" s="3" t="str">
        <v>Гайана</v>
      </c>
      <c r="B38" s="3" t="str">
        <v>Южная Америка</v>
      </c>
      <c r="C38" s="3" t="str">
        <v>Не удалось достоверно определить</v>
      </c>
      <c r="D38" s="3" t="str">
        <v>Не обнаружен</v>
      </c>
      <c r="E38" s="3" t="str">
        <v>"Guyana" "philosophical society" OR "philosophical association"</v>
      </c>
      <c r="F38" s="3" t="str">
        <v>Не обнаружен</v>
      </c>
      <c r="G3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8" s="6" t="n">
        <v>46300</v>
      </c>
      <c r="I38" s="3" t="str">
        <v>Основной охват</v>
      </c>
      <c r="J38" s="8" t="n">
        <v>0</v>
      </c>
    </row>
    <row r="39" ht="48" customHeight="1">
      <c r="A39" s="3" t="str">
        <v>Гамбия</v>
      </c>
      <c r="B39" s="3" t="str">
        <v>Западная Африка</v>
      </c>
      <c r="C39" s="3" t="str">
        <v>Не удалось достоверно определить</v>
      </c>
      <c r="D39" s="3" t="str">
        <v>Не обнаружен</v>
      </c>
      <c r="E39" s="3" t="str">
        <v>"Gambia" "philosophical society" OR "philosophy association"</v>
      </c>
      <c r="F39" s="3" t="str">
        <v>Не обнаружен</v>
      </c>
      <c r="G3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39" s="6" t="n">
        <v>46300</v>
      </c>
      <c r="I39" s="3" t="str">
        <v>Основной охват</v>
      </c>
      <c r="J39" s="8" t="n">
        <v>0</v>
      </c>
    </row>
    <row r="40" ht="48" customHeight="1">
      <c r="A40" s="3" t="str">
        <v>Гана</v>
      </c>
      <c r="B40" s="3" t="str">
        <v>Западная Африка</v>
      </c>
      <c r="C40" s="3" t="str">
        <v>Не удалось достоверно определить</v>
      </c>
      <c r="D40" s="3" t="str">
        <v>Не обнаружен</v>
      </c>
      <c r="E40" s="3" t="str">
        <v>"Ghana" "philosophical society" OR "philosophical association"</v>
      </c>
      <c r="F40" s="3" t="str">
        <v>Не обнаружен</v>
      </c>
      <c r="G4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0" s="6" t="n">
        <v>46300</v>
      </c>
      <c r="I40" s="3" t="str">
        <v>Основной охват</v>
      </c>
      <c r="J40" s="8" t="n">
        <v>0</v>
      </c>
    </row>
    <row r="41" ht="48" customHeight="1">
      <c r="A41" s="3" t="str">
        <v>Гватемала</v>
      </c>
      <c r="B41" s="3" t="str">
        <v>Центральная Америка</v>
      </c>
      <c r="C41" s="3" t="str">
        <v>Объединение обнаружено</v>
      </c>
      <c r="D41" s="3" t="str">
        <v>Гватемальская философская ассоциация</v>
      </c>
      <c r="E41" s="3" t="str">
        <v>Проверены реестры FISP / региональных федераций и первичные страницы найденной организации.</v>
      </c>
      <c r="F41" s="7" t="str">
        <v>https://www.fisp.org/members/national-societies</v>
      </c>
      <c r="G41" s="3" t="str">
        <v>Основной охват: 193 государства — члены ООН и два государства-наблюдателя.</v>
      </c>
      <c r="H41" s="6" t="n">
        <v>46300</v>
      </c>
      <c r="I41" s="3" t="str">
        <v>Основной охват</v>
      </c>
      <c r="J41" s="8" t="n">
        <v>1</v>
      </c>
    </row>
    <row r="42" ht="48" customHeight="1">
      <c r="A42" s="3" t="str">
        <v>Гвинея</v>
      </c>
      <c r="B42" s="3" t="str">
        <v>Западная Африка</v>
      </c>
      <c r="C42" s="3" t="str">
        <v>Не удалось достоверно определить</v>
      </c>
      <c r="D42" s="3" t="str">
        <v>Не обнаружен</v>
      </c>
      <c r="E42" s="3" t="str">
        <v>"Guinée" "association" "philosophie" philosophes</v>
      </c>
      <c r="F42" s="3" t="str">
        <v>Не обнаружен</v>
      </c>
      <c r="G4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2" s="6" t="n">
        <v>46300</v>
      </c>
      <c r="I42" s="3" t="str">
        <v>Основной охват</v>
      </c>
      <c r="J42" s="8" t="n">
        <v>0</v>
      </c>
    </row>
    <row r="43" ht="48" customHeight="1">
      <c r="A43" s="3" t="str">
        <v>Гвинея-Бисау</v>
      </c>
      <c r="B43" s="3" t="str">
        <v>Западная Африка</v>
      </c>
      <c r="C43" s="3" t="str">
        <v>Не удалось достоверно определить</v>
      </c>
      <c r="D43" s="3" t="str">
        <v>Не обнаружен</v>
      </c>
      <c r="E43" s="3" t="str">
        <v>"Guiné-Bissau" associação filosofia sociedade</v>
      </c>
      <c r="F43" s="3" t="str">
        <v>Не обнаружен</v>
      </c>
      <c r="G4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3" s="6" t="n">
        <v>46300</v>
      </c>
      <c r="I43" s="3" t="str">
        <v>Основной охват</v>
      </c>
      <c r="J43" s="8" t="n">
        <v>0</v>
      </c>
    </row>
    <row r="44" ht="48" customHeight="1">
      <c r="A44" s="3" t="str">
        <v>Германия</v>
      </c>
      <c r="B44" s="3" t="str">
        <v>Западная Европа</v>
      </c>
      <c r="C44" s="3" t="str">
        <v>Объединение обнаружено</v>
      </c>
      <c r="D44" s="3" t="str">
        <v>Немецкое философское общество</v>
      </c>
      <c r="E44" s="3" t="str">
        <v>Проверены реестры FISP / региональных федераций и первичные страницы найденной организации.</v>
      </c>
      <c r="F44" s="7" t="str">
        <v>https://www.dgphil.de/</v>
      </c>
      <c r="G44" s="3" t="str">
        <v>Основной охват: 193 государства — члены ООН и два государства-наблюдателя.</v>
      </c>
      <c r="H44" s="6" t="n">
        <v>46300</v>
      </c>
      <c r="I44" s="3" t="str">
        <v>Основной охват</v>
      </c>
      <c r="J44" s="8" t="n">
        <v>1</v>
      </c>
    </row>
    <row r="45" ht="74" customHeight="1">
      <c r="A45" s="3" t="str">
        <v>Гондурас</v>
      </c>
      <c r="B45" s="3" t="str">
        <v>Центральная Америка</v>
      </c>
      <c r="C45" s="3" t="str">
        <v>Не удалось достоверно определить</v>
      </c>
      <c r="D45" s="3" t="str">
        <v>Не обнаружен</v>
      </c>
      <c r="E45" s="3" t="str">
        <v>Проверены реестры FISP / региональных федераций и первичные страницы найденной организации.</v>
      </c>
      <c r="F45" s="7" t="str">
        <v>https://azurrevista.com/wp-content/uploads/2026/08/1_Acta-del-XIV-Congreso-Centroamericano-de-Filosofia.html</v>
      </c>
      <c r="G4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 Протокол ACAFI от 20.11.2025, опубликованный 20.07.2026, прямо сообщает: национальные ассоциации еще не созданы. Представители страны участвуют в ACAFI; действующая самостоятельная организация не подтверждена.</v>
      </c>
      <c r="H45" s="6" t="n">
        <v>46300</v>
      </c>
      <c r="I45" s="3" t="str">
        <v>Основной охват</v>
      </c>
      <c r="J45" s="8" t="n">
        <v>0</v>
      </c>
    </row>
    <row r="46" ht="48" customHeight="1">
      <c r="A46" s="3" t="str">
        <v>Гренада</v>
      </c>
      <c r="B46" s="3" t="str">
        <v>Карибский бассейн</v>
      </c>
      <c r="C46" s="3" t="str">
        <v>Не удалось достоверно определить</v>
      </c>
      <c r="D46" s="3" t="str">
        <v>Не обнаружен</v>
      </c>
      <c r="E46" s="3" t="str">
        <v>"Grenada" philosophical society association</v>
      </c>
      <c r="F46" s="3" t="str">
        <v>Не обнаружен</v>
      </c>
      <c r="G4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6" s="6" t="n">
        <v>46300</v>
      </c>
      <c r="I46" s="3" t="str">
        <v>Основной охват</v>
      </c>
      <c r="J46" s="8" t="n">
        <v>0</v>
      </c>
    </row>
    <row r="47" ht="48" customHeight="1">
      <c r="A47" s="3" t="str">
        <v>Греция</v>
      </c>
      <c r="B47" s="3" t="str">
        <v>Южная Европа</v>
      </c>
      <c r="C47" s="3" t="str">
        <v>Объединение обнаружено</v>
      </c>
      <c r="D47" s="3" t="str">
        <v>Греческое философское общество</v>
      </c>
      <c r="E47" s="3" t="str">
        <v>Проверены реестры FISP / региональных федераций и первичные страницы найденной организации.</v>
      </c>
      <c r="F47" s="7" t="str">
        <v>https://philosophia.org.gr/</v>
      </c>
      <c r="G47" s="3" t="str">
        <v>Основной охват: 193 государства — члены ООН и два государства-наблюдателя.</v>
      </c>
      <c r="H47" s="6" t="n">
        <v>46300</v>
      </c>
      <c r="I47" s="3" t="str">
        <v>Основной охват</v>
      </c>
      <c r="J47" s="8" t="n">
        <v>1</v>
      </c>
    </row>
    <row r="48" ht="48" customHeight="1">
      <c r="A48" s="3" t="str">
        <v>Грузия</v>
      </c>
      <c r="B48" s="3" t="str">
        <v>Кавказ</v>
      </c>
      <c r="C48" s="3" t="str">
        <v>Не удалось достоверно определить</v>
      </c>
      <c r="D48" s="3" t="str">
        <v>Не обнаружен</v>
      </c>
      <c r="E48" s="3" t="str">
        <v>საქართველო ფილოსოფიური საზოგადოება ასოციაცია ფილოსოფოსთა
"საქართველოს ფილოსოფიური საზოგადოება"</v>
      </c>
      <c r="F48" s="3" t="str">
        <v>Не обнаружен</v>
      </c>
      <c r="G4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48" s="6" t="n">
        <v>46300</v>
      </c>
      <c r="I48" s="3" t="str">
        <v>Основной охват</v>
      </c>
      <c r="J48" s="8" t="n">
        <v>0</v>
      </c>
    </row>
    <row r="49" ht="48" customHeight="1">
      <c r="A49" s="3" t="str">
        <v>Дания</v>
      </c>
      <c r="B49" s="3" t="str">
        <v>Северная Европа</v>
      </c>
      <c r="C49" s="3" t="str">
        <v>Объединение обнаружено</v>
      </c>
      <c r="D49" s="3" t="str">
        <v>Датское философское общество</v>
      </c>
      <c r="E49" s="3" t="str">
        <v>Проверены реестры FISP / региональных федераций и первичные страницы найденной организации.</v>
      </c>
      <c r="F49" s="7" t="str">
        <v>https://www.filosofiskselskab.dk/vedtgter</v>
      </c>
      <c r="G49" s="3" t="str">
        <v>Основной охват: 193 государства — члены ООН и два государства-наблюдателя.</v>
      </c>
      <c r="H49" s="6" t="n">
        <v>46300</v>
      </c>
      <c r="I49" s="3" t="str">
        <v>Основной охват</v>
      </c>
      <c r="J49" s="8" t="n">
        <v>1</v>
      </c>
    </row>
    <row r="50" ht="48" customHeight="1">
      <c r="A50" s="3" t="str">
        <v>Джибути</v>
      </c>
      <c r="B50" s="3" t="str">
        <v>Восточная Африка</v>
      </c>
      <c r="C50" s="3" t="str">
        <v>Не удалось достоверно определить</v>
      </c>
      <c r="D50" s="3" t="str">
        <v>Не обнаружен</v>
      </c>
      <c r="E50" s="3" t="str">
        <v>"Djibouti" "association" "philosophie"</v>
      </c>
      <c r="F50" s="3" t="str">
        <v>Не обнаружен</v>
      </c>
      <c r="G5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50" s="6" t="n">
        <v>46300</v>
      </c>
      <c r="I50" s="3" t="str">
        <v>Основной охват</v>
      </c>
      <c r="J50" s="8" t="n">
        <v>0</v>
      </c>
    </row>
    <row r="51" ht="48" customHeight="1">
      <c r="A51" s="3" t="str">
        <v>Доминика</v>
      </c>
      <c r="B51" s="3" t="str">
        <v>Карибский бассейн</v>
      </c>
      <c r="C51" s="3" t="str">
        <v>Не удалось достоверно определить</v>
      </c>
      <c r="D51" s="3" t="str">
        <v>Не обнаружен</v>
      </c>
      <c r="E51" s="3" t="str">
        <v>"Dominica" philosophical society association</v>
      </c>
      <c r="F51" s="3" t="str">
        <v>Не обнаружен</v>
      </c>
      <c r="G5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51" s="6" t="n">
        <v>46300</v>
      </c>
      <c r="I51" s="3" t="str">
        <v>Основной охват</v>
      </c>
      <c r="J51" s="8" t="n">
        <v>0</v>
      </c>
    </row>
    <row r="52" ht="48" customHeight="1">
      <c r="A52" s="3" t="str">
        <v>Доминиканская Республика</v>
      </c>
      <c r="B52" s="3" t="str">
        <v>Карибский бассейн</v>
      </c>
      <c r="C52" s="3" t="str">
        <v>Объединение обнаружено</v>
      </c>
      <c r="D52" s="3" t="str">
        <v>Доминиканская философская ассоциация</v>
      </c>
      <c r="E52" s="3" t="str">
        <v>Проверены реестры FISP / региональных федераций и первичные страницы найденной организации.</v>
      </c>
      <c r="F52" s="7" t="str">
        <v>https://rediberoamericanafilosofia.com/acafi/</v>
      </c>
      <c r="G52" s="3" t="str">
        <v>Основной охват: 193 государства — члены ООН и два государства-наблюдателя.</v>
      </c>
      <c r="H52" s="6" t="n">
        <v>46300</v>
      </c>
      <c r="I52" s="3" t="str">
        <v>Основной охват</v>
      </c>
      <c r="J52" s="8" t="n">
        <v>1</v>
      </c>
    </row>
    <row r="53" ht="48" customHeight="1">
      <c r="A53" s="3" t="str">
        <v>ДР Конго</v>
      </c>
      <c r="B53" s="3" t="str">
        <v>Центральная Африка</v>
      </c>
      <c r="C53" s="3" t="str">
        <v>Объединение обнаружено</v>
      </c>
      <c r="D53" s="3" t="str">
        <v>Философское общество Конго</v>
      </c>
      <c r="E53" s="3" t="str">
        <v>"Société philosophique du Congo" SOPHICO</v>
      </c>
      <c r="F53" s="7" t="str">
        <v>https://acp.cd/nation/publication-dun-nouveau-numero-de-la-revue-dynamique-critique-par-lecole-philosophique-de-kisangani/</v>
      </c>
      <c r="G53" s="3" t="str">
        <v>Основной охват: 193 государства — члены ООН и два государства-наблюдателя.</v>
      </c>
      <c r="H53" s="6" t="n">
        <v>46300</v>
      </c>
      <c r="I53" s="3" t="str">
        <v>Основной охват</v>
      </c>
      <c r="J53" s="8" t="n">
        <v>1</v>
      </c>
    </row>
    <row r="54" ht="48" customHeight="1">
      <c r="A54" s="3" t="str">
        <v>Египет</v>
      </c>
      <c r="B54" s="3" t="str">
        <v>Северная Африка</v>
      </c>
      <c r="C54" s="3" t="str">
        <v>Объединение обнаружено</v>
      </c>
      <c r="D54" s="3" t="str">
        <v>Египетское философское общество</v>
      </c>
      <c r="E54" s="3" t="str">
        <v>الجمعية الفلسفية المصرية رئيس مجلس الإدارة 2026</v>
      </c>
      <c r="F54" s="7" t="str">
        <v>https://www.dar-alifta.org/ar/articles/details/9775</v>
      </c>
      <c r="G54" s="3" t="str">
        <v>Основной охват: 193 государства — члены ООН и два государства-наблюдателя.</v>
      </c>
      <c r="H54" s="6" t="n">
        <v>46300</v>
      </c>
      <c r="I54" s="3" t="str">
        <v>Основной охват</v>
      </c>
      <c r="J54" s="8" t="n">
        <v>1</v>
      </c>
    </row>
    <row r="55" ht="48" customHeight="1">
      <c r="A55" s="3" t="str">
        <v>Замбия</v>
      </c>
      <c r="B55" s="3" t="str">
        <v>Восточная Африка</v>
      </c>
      <c r="C55" s="3" t="str">
        <v>Не удалось достоверно определить</v>
      </c>
      <c r="D55" s="3" t="str">
        <v>Не обнаружен</v>
      </c>
      <c r="E55" s="3" t="str">
        <v>"Zambia" "philosophical society" OR "philosophical association"</v>
      </c>
      <c r="F55" s="3" t="str">
        <v>Не обнаружен</v>
      </c>
      <c r="G5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55" s="6" t="n">
        <v>46300</v>
      </c>
      <c r="I55" s="3" t="str">
        <v>Основной охват</v>
      </c>
      <c r="J55" s="8" t="n">
        <v>0</v>
      </c>
    </row>
    <row r="56" ht="48" customHeight="1">
      <c r="A56" s="3" t="str">
        <v>Зимбабве</v>
      </c>
      <c r="B56" s="3" t="str">
        <v>Восточная Африка</v>
      </c>
      <c r="C56" s="3" t="str">
        <v>Объединение обнаружено</v>
      </c>
      <c r="D56" s="3" t="str">
        <v>Философское общество Зимбабве</v>
      </c>
      <c r="E56" s="3" t="str">
        <v>"Zimbabwe" "philosophical society" OR "philosophical association"</v>
      </c>
      <c r="F56" s="7" t="str">
        <v>https://www.vernonpress.com/index.php/author/12428</v>
      </c>
      <c r="G56" s="3" t="str">
        <v>Основной охват: 193 государства — члены ООН и два государства-наблюдателя.</v>
      </c>
      <c r="H56" s="6" t="n">
        <v>46300</v>
      </c>
      <c r="I56" s="3" t="str">
        <v>Основной охват</v>
      </c>
      <c r="J56" s="8" t="n">
        <v>1</v>
      </c>
    </row>
    <row r="57" ht="48" customHeight="1">
      <c r="A57" s="3" t="str">
        <v>Израиль</v>
      </c>
      <c r="B57" s="3" t="str">
        <v>Ближний Восток</v>
      </c>
      <c r="C57" s="3" t="str">
        <v>Объединение обнаружено</v>
      </c>
      <c r="D57" s="3" t="str">
        <v>Новое израильское философское общество</v>
      </c>
      <c r="E57" s="3" t="str">
        <v>Проверены реестры FISP / региональных федераций и первичные страницы найденной организации.</v>
      </c>
      <c r="F57" s="7" t="str">
        <v>https://www.fisp.org/members/national-societies</v>
      </c>
      <c r="G57" s="3" t="str">
        <v>Основной охват: 193 государства — члены ООН и два государства-наблюдателя.</v>
      </c>
      <c r="H57" s="6" t="n">
        <v>46300</v>
      </c>
      <c r="I57" s="3" t="str">
        <v>Основной охват</v>
      </c>
      <c r="J57" s="8" t="n">
        <v>1</v>
      </c>
    </row>
    <row r="58" ht="48" customHeight="1">
      <c r="A58" s="3" t="str">
        <v>Индия</v>
      </c>
      <c r="B58" s="3" t="str">
        <v>Южная Азия</v>
      </c>
      <c r="C58" s="3" t="str">
        <v>Объединение обнаружено</v>
      </c>
      <c r="D58" s="3" t="str">
        <v>Всеиндийский философский совет
Индийский философский конгресс</v>
      </c>
      <c r="E58" s="3" t="str">
        <v>Проверены реестры FISP / региональных федераций и первичные страницы найденной организации.</v>
      </c>
      <c r="F58" s="7" t="str">
        <v>https://www.fisp.org/members/national-societies</v>
      </c>
      <c r="G58" s="3" t="str">
        <v>Основной охват: 193 государства — члены ООН и два государства-наблюдателя.</v>
      </c>
      <c r="H58" s="6" t="n">
        <v>46300</v>
      </c>
      <c r="I58" s="3" t="str">
        <v>Основной охват</v>
      </c>
      <c r="J58" s="8" t="n">
        <v>2</v>
      </c>
    </row>
    <row r="59" ht="87" customHeight="1">
      <c r="A59" s="3" t="str">
        <v>Индонезия</v>
      </c>
      <c r="B59" s="3" t="str">
        <v>Юго-Восточная Азия</v>
      </c>
      <c r="C59" s="3" t="str">
        <v>Не удалось достоверно определить</v>
      </c>
      <c r="D59" s="3" t="str">
        <v>Не обнаружен</v>
      </c>
      <c r="E59" s="3" t="str">
        <v>Indonesia "Himpunan Sarjana Filsafat" OR "Ikatan Sarjana Filsafat" OR "Himpunan Dosen Filsafat"
"Asosiasi Filsafat Indonesia"
"Himpunan Dosen Filsafat Indonesia"
"Perhimpunan Filsafat Indonesia"
"Indonesian Philosophical Association"</v>
      </c>
      <c r="F59" s="3" t="str">
        <v>Не обнаружен</v>
      </c>
      <c r="G5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59" s="6" t="n">
        <v>46300</v>
      </c>
      <c r="I59" s="3" t="str">
        <v>Основной охват</v>
      </c>
      <c r="J59" s="8" t="n">
        <v>0</v>
      </c>
    </row>
    <row r="60" ht="87" customHeight="1">
      <c r="A60" s="3" t="str">
        <v>Иордания</v>
      </c>
      <c r="B60" s="3" t="str">
        <v>Ближний Восток</v>
      </c>
      <c r="C60" s="3" t="str">
        <v>Объединение обнаружено</v>
      </c>
      <c r="D60" s="3" t="str">
        <v>Иорданское философское общество</v>
      </c>
      <c r="E60" s="3" t="str">
        <v>"الجمعية الفلسفية الأردنية" رئيس
"الجمعية الفلسفية الأردنية"</v>
      </c>
      <c r="F60" s="7" t="str">
        <v>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</v>
      </c>
      <c r="G60" s="3" t="str">
        <v>Основной охват: 193 государства — члены ООН и два государства-наблюдателя.</v>
      </c>
      <c r="H60" s="6" t="n">
        <v>46300</v>
      </c>
      <c r="I60" s="3" t="str">
        <v>Основной охват</v>
      </c>
      <c r="J60" s="8" t="n">
        <v>1</v>
      </c>
    </row>
    <row r="61" ht="48" customHeight="1">
      <c r="A61" s="3" t="str">
        <v>Ирак</v>
      </c>
      <c r="B61" s="3" t="str">
        <v>Ближний Восток</v>
      </c>
      <c r="C61" s="3" t="str">
        <v>Не удалось достоверно определить</v>
      </c>
      <c r="D61" s="3" t="str">
        <v>Не обнаружен</v>
      </c>
      <c r="E61" s="3" t="str">
        <v>"الجمعية الفلسفية العراقية"
"الجمعية الفلسفية العراقية" جامعة</v>
      </c>
      <c r="F61" s="3" t="str">
        <v>Не обнаружен</v>
      </c>
      <c r="G6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61" s="6" t="n">
        <v>46300</v>
      </c>
      <c r="I61" s="3" t="str">
        <v>Основной охват</v>
      </c>
      <c r="J61" s="8" t="n">
        <v>0</v>
      </c>
    </row>
    <row r="62" ht="48" customHeight="1">
      <c r="A62" s="3" t="str">
        <v>Иран</v>
      </c>
      <c r="B62" s="3" t="str">
        <v>Ближний Восток</v>
      </c>
      <c r="C62" s="3" t="str">
        <v>Объединение обнаружено</v>
      </c>
      <c r="D62" s="3" t="str">
        <v>Иранское философское общество</v>
      </c>
      <c r="E62" s="3" t="str">
        <v>Проверены реестры FISP / региональных федераций и первичные страницы найденной организации.</v>
      </c>
      <c r="F62" s="7" t="str">
        <v>https://ipso.ir/%D8%AF%D8%B1%D8%A8%D8%A7%D8%B1%DB%80-%D8%A7%D9%86%D8%AC%D9%85%D9%86/</v>
      </c>
      <c r="G62" s="3" t="str">
        <v>Основной охват: 193 государства — члены ООН и два государства-наблюдателя.</v>
      </c>
      <c r="H62" s="6" t="n">
        <v>46300</v>
      </c>
      <c r="I62" s="3" t="str">
        <v>Основной охват</v>
      </c>
      <c r="J62" s="8" t="n">
        <v>1</v>
      </c>
    </row>
    <row r="63" ht="48" customHeight="1">
      <c r="A63" s="3" t="str">
        <v>Ирландия</v>
      </c>
      <c r="B63" s="3" t="str">
        <v>Северная Европа</v>
      </c>
      <c r="C63" s="3" t="str">
        <v>Объединение обнаружено</v>
      </c>
      <c r="D63" s="3" t="str">
        <v>Ирландское философское общество</v>
      </c>
      <c r="E63" s="3" t="str">
        <v>Проверены реестры FISP / региональных федераций и первичные страницы найденной организации.</v>
      </c>
      <c r="F63" s="7" t="str">
        <v>https://www.irish-philosophical-society.ie/</v>
      </c>
      <c r="G63" s="3" t="str">
        <v>Основной охват: 193 государства — члены ООН и два государства-наблюдателя.</v>
      </c>
      <c r="H63" s="6" t="n">
        <v>46300</v>
      </c>
      <c r="I63" s="3" t="str">
        <v>Основной охват</v>
      </c>
      <c r="J63" s="8" t="n">
        <v>1</v>
      </c>
    </row>
    <row r="64" ht="48" customHeight="1">
      <c r="A64" s="3" t="str">
        <v>Исландия</v>
      </c>
      <c r="B64" s="3" t="str">
        <v>Северная Европа</v>
      </c>
      <c r="C64" s="3" t="str">
        <v>Объединение обнаружено</v>
      </c>
      <c r="D64" s="3" t="str">
        <v>Исландское общество любителей философии</v>
      </c>
      <c r="E64" s="3" t="str">
        <v>Проверены реестры FISP / региональных федераций и первичные страницы найденной организации.</v>
      </c>
      <c r="F64" s="7" t="str">
        <v>https://heimspeki.hi.is/fah-hugur/</v>
      </c>
      <c r="G64" s="3" t="str">
        <v>Основной охват: 193 государства — члены ООН и два государства-наблюдателя.</v>
      </c>
      <c r="H64" s="6" t="n">
        <v>46300</v>
      </c>
      <c r="I64" s="3" t="str">
        <v>Основной охват</v>
      </c>
      <c r="J64" s="8" t="n">
        <v>1</v>
      </c>
    </row>
    <row r="65" ht="48" customHeight="1">
      <c r="A65" s="3" t="str">
        <v>Испания</v>
      </c>
      <c r="B65" s="3" t="str">
        <v>Южная Европа</v>
      </c>
      <c r="C65" s="3" t="str">
        <v>Объединение обнаружено</v>
      </c>
      <c r="D65" s="3" t="str">
        <v>Академическое философское общество
Испанская философская сеть</v>
      </c>
      <c r="E65" s="3" t="str">
        <v>Проверены реестры FISP / региональных федераций и первичные страницы найденной организации.</v>
      </c>
      <c r="F65" s="7" t="str">
        <v>https://www.fisp.org/members/national-societies</v>
      </c>
      <c r="G65" s="3" t="str">
        <v>Основной охват: 193 государства — члены ООН и два государства-наблюдателя.</v>
      </c>
      <c r="H65" s="6" t="n">
        <v>46300</v>
      </c>
      <c r="I65" s="3" t="str">
        <v>Основной охват</v>
      </c>
      <c r="J65" s="8" t="n">
        <v>2</v>
      </c>
    </row>
    <row r="66" ht="48" customHeight="1">
      <c r="A66" s="3" t="str">
        <v>Италия</v>
      </c>
      <c r="B66" s="3" t="str">
        <v>Южная Европа</v>
      </c>
      <c r="C66" s="3" t="str">
        <v>Объединение обнаружено</v>
      </c>
      <c r="D66" s="3" t="str">
        <v>Итальянское философское общество
Национальная консульта по философии</v>
      </c>
      <c r="E66" s="3" t="str">
        <v>Проверены реестры FISP / региональных федераций и первичные страницы найденной организации.</v>
      </c>
      <c r="F66" s="7" t="str">
        <v>https://www.sfi.it/246/sfi.html</v>
      </c>
      <c r="G66" s="3" t="str">
        <v>Основной охват: 193 государства — члены ООН и два государства-наблюдателя.</v>
      </c>
      <c r="H66" s="6" t="n">
        <v>46300</v>
      </c>
      <c r="I66" s="3" t="str">
        <v>Основной охват</v>
      </c>
      <c r="J66" s="8" t="n">
        <v>2</v>
      </c>
    </row>
    <row r="67" ht="48" customHeight="1">
      <c r="A67" s="3" t="str">
        <v>Йемен</v>
      </c>
      <c r="B67" s="3" t="str">
        <v>Ближний Восток</v>
      </c>
      <c r="C67" s="3" t="str">
        <v>Не удалось достоверно определить</v>
      </c>
      <c r="D67" s="3" t="str">
        <v>Не обнаружен</v>
      </c>
      <c r="E67" s="3" t="str">
        <v>"الجمعية الفلسفية اليمنية" OR "اتحاد الفلاسفة اليمنيين"</v>
      </c>
      <c r="F67" s="3" t="str">
        <v>Не обнаружен</v>
      </c>
      <c r="G6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67" s="6" t="n">
        <v>46300</v>
      </c>
      <c r="I67" s="3" t="str">
        <v>Основной охват</v>
      </c>
      <c r="J67" s="8" t="n">
        <v>0</v>
      </c>
    </row>
    <row r="68" ht="48" customHeight="1">
      <c r="A68" s="3" t="str">
        <v>Кабо-Верде</v>
      </c>
      <c r="B68" s="3" t="str">
        <v>Западная Африка</v>
      </c>
      <c r="C68" s="3" t="str">
        <v>Не удалось достоверно определить</v>
      </c>
      <c r="D68" s="3" t="str">
        <v>Не обнаружен</v>
      </c>
      <c r="E68" s="3" t="str">
        <v>"Cabo Verde" associação filosofia sociedade</v>
      </c>
      <c r="F68" s="3" t="str">
        <v>Не обнаружен</v>
      </c>
      <c r="G6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68" s="6" t="n">
        <v>46300</v>
      </c>
      <c r="I68" s="3" t="str">
        <v>Основной охват</v>
      </c>
      <c r="J68" s="8" t="n">
        <v>0</v>
      </c>
    </row>
    <row r="69" ht="48" customHeight="1">
      <c r="A69" s="3" t="str">
        <v>Казахстан</v>
      </c>
      <c r="B69" s="3" t="str">
        <v>Центральная Азия</v>
      </c>
      <c r="C69" s="3" t="str">
        <v>Объединение обнаружено</v>
      </c>
      <c r="D69" s="3" t="str">
        <v>Казахстанский философский конгресс</v>
      </c>
      <c r="E69" s="3" t="str">
        <v>Проверены реестры FISP / региональных федераций и первичные страницы найденной организации.</v>
      </c>
      <c r="F69" s="7" t="str">
        <v>https://al-farabi.kaznu.kz/?lang=kz&amp;page_id=2698</v>
      </c>
      <c r="G69" s="3" t="str">
        <v>Основной охват: 193 государства — члены ООН и два государства-наблюдателя.</v>
      </c>
      <c r="H69" s="6" t="n">
        <v>46300</v>
      </c>
      <c r="I69" s="3" t="str">
        <v>Основной охват</v>
      </c>
      <c r="J69" s="8" t="n">
        <v>1</v>
      </c>
    </row>
    <row r="70" ht="48" customHeight="1">
      <c r="A70" s="3" t="str">
        <v>Камбоджа</v>
      </c>
      <c r="B70" s="3" t="str">
        <v>Юго-Восточная Азия</v>
      </c>
      <c r="C70" s="3" t="str">
        <v>Не удалось достоверно определить</v>
      </c>
      <c r="D70" s="3" t="str">
        <v>Не обнаружен</v>
      </c>
      <c r="E70" s="3" t="str">
        <v>Cambodia philosophical society association សមាគម ទស្សនវិជ្ជា</v>
      </c>
      <c r="F70" s="3" t="str">
        <v>Не обнаружен</v>
      </c>
      <c r="G7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0" s="6" t="n">
        <v>46300</v>
      </c>
      <c r="I70" s="3" t="str">
        <v>Основной охват</v>
      </c>
      <c r="J70" s="8" t="n">
        <v>0</v>
      </c>
    </row>
    <row r="71" ht="48" customHeight="1">
      <c r="A71" s="3" t="str">
        <v>Камерун</v>
      </c>
      <c r="B71" s="3" t="str">
        <v>Центральная Африка</v>
      </c>
      <c r="C71" s="3" t="str">
        <v>Объединение обнаружено</v>
      </c>
      <c r="D71" s="3" t="str">
        <v>Камерунское общество философских исследований</v>
      </c>
      <c r="E71" s="3" t="str">
        <v>"Société camerounaise" "philosophie"</v>
      </c>
      <c r="F71" s="7" t="str">
        <v>https://www.editions-harmattan.fr/catalogue/livre/la-reinvention-de-luniversel/81915</v>
      </c>
      <c r="G71" s="3" t="str">
        <v>Основной охват: 193 государства — члены ООН и два государства-наблюдателя.</v>
      </c>
      <c r="H71" s="6" t="n">
        <v>46300</v>
      </c>
      <c r="I71" s="3" t="str">
        <v>Основной охват</v>
      </c>
      <c r="J71" s="8" t="n">
        <v>1</v>
      </c>
    </row>
    <row r="72" ht="48" customHeight="1">
      <c r="A72" s="3" t="str">
        <v>Канада</v>
      </c>
      <c r="B72" s="3" t="str">
        <v>Северная Америка</v>
      </c>
      <c r="C72" s="3" t="str">
        <v>Объединение обнаружено</v>
      </c>
      <c r="D72" s="3" t="str">
        <v>Канадская философская ассоциация</v>
      </c>
      <c r="E72" s="3" t="str">
        <v>Проверены реестры FISP / региональных федераций и первичные страницы найденной организации.</v>
      </c>
      <c r="F72" s="7" t="str">
        <v>https://www.acpcpa.ca/cpages/home-page</v>
      </c>
      <c r="G72" s="3" t="str">
        <v>Основной охват: 193 государства — члены ООН и два государства-наблюдателя.</v>
      </c>
      <c r="H72" s="6" t="n">
        <v>46300</v>
      </c>
      <c r="I72" s="3" t="str">
        <v>Основной охват</v>
      </c>
      <c r="J72" s="8" t="n">
        <v>1</v>
      </c>
    </row>
    <row r="73" ht="48" customHeight="1">
      <c r="A73" s="3" t="str">
        <v>Катар</v>
      </c>
      <c r="B73" s="3" t="str">
        <v>Ближний Восток</v>
      </c>
      <c r="C73" s="3" t="str">
        <v>Не удалось достоверно определить</v>
      </c>
      <c r="D73" s="3" t="str">
        <v>Не обнаружен</v>
      </c>
      <c r="E73" s="3" t="str">
        <v>Qatar philosophical society association جمعية الفلسفة قطر</v>
      </c>
      <c r="F73" s="3" t="str">
        <v>Не обнаружен</v>
      </c>
      <c r="G7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3" s="6" t="n">
        <v>46300</v>
      </c>
      <c r="I73" s="3" t="str">
        <v>Основной охват</v>
      </c>
      <c r="J73" s="8" t="n">
        <v>0</v>
      </c>
    </row>
    <row r="74" ht="48" customHeight="1">
      <c r="A74" s="3" t="str">
        <v>Кения</v>
      </c>
      <c r="B74" s="3" t="str">
        <v>Восточная Африка</v>
      </c>
      <c r="C74" s="3" t="str">
        <v>Объединение обнаружено</v>
      </c>
      <c r="D74" s="3" t="str">
        <v>Философская ассоциация Кении</v>
      </c>
      <c r="E74" s="3" t="str">
        <v>Проверены реестры FISP / региональных федераций и первичные страницы найденной организации.</v>
      </c>
      <c r="F74" s="7" t="str">
        <v>https://philosophy.uonbi.ac.ke/node/165</v>
      </c>
      <c r="G74" s="3" t="str">
        <v>Основной охват: 193 государства — члены ООН и два государства-наблюдателя.</v>
      </c>
      <c r="H74" s="6" t="n">
        <v>46300</v>
      </c>
      <c r="I74" s="3" t="str">
        <v>Основной охват</v>
      </c>
      <c r="J74" s="8" t="n">
        <v>1</v>
      </c>
    </row>
    <row r="75" ht="48" customHeight="1">
      <c r="A75" s="3" t="str">
        <v>Кипр</v>
      </c>
      <c r="B75" s="3" t="str">
        <v>Ближний Восток</v>
      </c>
      <c r="C75" s="3" t="str">
        <v>Не удалось достоверно определить</v>
      </c>
      <c r="D75" s="3" t="str">
        <v>Не обнаружен</v>
      </c>
      <c r="E75" s="3" t="str">
        <v>Cyprus philosophical society association Κύπρου φιλοσοφική εταιρεία</v>
      </c>
      <c r="F75" s="3" t="str">
        <v>Не обнаружен</v>
      </c>
      <c r="G7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5" s="6" t="n">
        <v>46300</v>
      </c>
      <c r="I75" s="3" t="str">
        <v>Основной охват</v>
      </c>
      <c r="J75" s="8" t="n">
        <v>0</v>
      </c>
    </row>
    <row r="76" ht="48" customHeight="1">
      <c r="A76" s="3" t="str">
        <v>Кирибати</v>
      </c>
      <c r="B76" s="3" t="str">
        <v>Океания</v>
      </c>
      <c r="C76" s="3" t="str">
        <v>Не удалось достоверно определить</v>
      </c>
      <c r="D76" s="3" t="str">
        <v>Не обнаружен</v>
      </c>
      <c r="E76" s="3" t="str">
        <v>"Kiribati" philosophy society association</v>
      </c>
      <c r="F76" s="3" t="str">
        <v>Не обнаружен</v>
      </c>
      <c r="G7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6" s="6" t="n">
        <v>46300</v>
      </c>
      <c r="I76" s="3" t="str">
        <v>Основной охват</v>
      </c>
      <c r="J76" s="8" t="n">
        <v>0</v>
      </c>
    </row>
    <row r="77" ht="48" customHeight="1">
      <c r="A77" s="3" t="str">
        <v>Китай</v>
      </c>
      <c r="B77" s="3" t="str">
        <v>Восточная Азия</v>
      </c>
      <c r="C77" s="3" t="str">
        <v>Не удалось достоверно определить</v>
      </c>
      <c r="D77" s="3" t="str">
        <v>Не обнаружен</v>
      </c>
      <c r="E77" s="3" t="str">
        <v>中国 哲学学会 会长 2026 会员</v>
      </c>
      <c r="F77" s="3" t="str">
        <v>Не обнаружен</v>
      </c>
      <c r="G7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7" s="6" t="n">
        <v>46300</v>
      </c>
      <c r="I77" s="3" t="str">
        <v>Основной охват</v>
      </c>
      <c r="J77" s="8" t="n">
        <v>0</v>
      </c>
    </row>
    <row r="78" ht="48" customHeight="1">
      <c r="A78" s="3" t="str">
        <v>Колумбия</v>
      </c>
      <c r="B78" s="3" t="str">
        <v>Южная Америка</v>
      </c>
      <c r="C78" s="3" t="str">
        <v>Объединение обнаружено</v>
      </c>
      <c r="D78" s="3" t="str">
        <v>Колумбийское философское общество</v>
      </c>
      <c r="E78" s="3" t="str">
        <v>Проверены реестры FISP / региональных федераций и первичные страницы найденной организации.</v>
      </c>
      <c r="F78" s="7" t="str">
        <v>https://www.socolfil.org/scf/presentacion</v>
      </c>
      <c r="G78" s="3" t="str">
        <v>Основной охват: 193 государства — члены ООН и два государства-наблюдателя.</v>
      </c>
      <c r="H78" s="6" t="n">
        <v>46300</v>
      </c>
      <c r="I78" s="3" t="str">
        <v>Основной охват</v>
      </c>
      <c r="J78" s="8" t="n">
        <v>1</v>
      </c>
    </row>
    <row r="79" ht="48" customHeight="1">
      <c r="A79" s="3" t="str">
        <v>Коморы</v>
      </c>
      <c r="B79" s="3" t="str">
        <v>Восточная Африка</v>
      </c>
      <c r="C79" s="3" t="str">
        <v>Не удалось достоверно определить</v>
      </c>
      <c r="D79" s="3" t="str">
        <v>Не обнаружен</v>
      </c>
      <c r="E79" s="3" t="str">
        <v>"Comores" "association" "philosophie"</v>
      </c>
      <c r="F79" s="3" t="str">
        <v>Не обнаружен</v>
      </c>
      <c r="G7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79" s="6" t="n">
        <v>46300</v>
      </c>
      <c r="I79" s="3" t="str">
        <v>Основной охват</v>
      </c>
      <c r="J79" s="8" t="n">
        <v>0</v>
      </c>
    </row>
    <row r="80" ht="48" customHeight="1">
      <c r="A80" s="3" t="str">
        <v>Конго</v>
      </c>
      <c r="B80" s="3" t="str">
        <v>Центральная Африка</v>
      </c>
      <c r="C80" s="3" t="str">
        <v>Объединение обнаружено</v>
      </c>
      <c r="D80" s="3" t="str">
        <v>Конголезское философское общество «София»</v>
      </c>
      <c r="E80" s="3" t="str">
        <v>Проверены реестры FISP / региональных федераций и первичные страницы найденной организации.</v>
      </c>
      <c r="F80" s="7" t="str">
        <v>https://asplf.org/liste-des-societes/</v>
      </c>
      <c r="G80" s="3" t="str">
        <v>Основной охват: 193 государства — члены ООН и два государства-наблюдателя.</v>
      </c>
      <c r="H80" s="6" t="n">
        <v>46300</v>
      </c>
      <c r="I80" s="3" t="str">
        <v>Основной охват</v>
      </c>
      <c r="J80" s="8" t="n">
        <v>1</v>
      </c>
    </row>
    <row r="81" ht="48" customHeight="1">
      <c r="A81" s="3" t="str">
        <v>Косово</v>
      </c>
      <c r="B81" s="3" t="str">
        <v>Южная Европа</v>
      </c>
      <c r="C81" s="3" t="str">
        <v>Объединение обнаружено</v>
      </c>
      <c r="D81" s="3" t="str">
        <v>Ассоциация философов Косово</v>
      </c>
      <c r="E81" s="3" t="str">
        <v>Проверены FISP и первичные национальные источники.</v>
      </c>
      <c r="F81" s="7" t="str">
        <v>https://uni-pr.edu/lajme/kujtohet-kanti-ne-kohen-moderne-qe-po-i-le-pak-vend-filozofise</v>
      </c>
      <c r="G81" s="3" t="str">
        <v>Дополнительная юрисдикция; не входит в основной счет 195 государств.</v>
      </c>
      <c r="H81" s="6" t="n">
        <v>46300</v>
      </c>
      <c r="I81" s="3" t="str">
        <v>Дополнительный охват</v>
      </c>
      <c r="J81" s="8" t="n">
        <v>1</v>
      </c>
    </row>
    <row r="82" ht="48" customHeight="1">
      <c r="A82" s="3" t="str">
        <v>Коста-Рика</v>
      </c>
      <c r="B82" s="3" t="str">
        <v>Центральная Америка</v>
      </c>
      <c r="C82" s="3" t="str">
        <v>Объединение обнаружено</v>
      </c>
      <c r="D82" s="3" t="str">
        <v>Костариканская философская ассоциация</v>
      </c>
      <c r="E82" s="3" t="str">
        <v>Проверены реестры FISP / региональных федераций и первичные страницы найденной организации.</v>
      </c>
      <c r="F82" s="7" t="str">
        <v>https://rediberoamericanafilosofia.com/acafi/</v>
      </c>
      <c r="G82" s="3" t="str">
        <v>Основной охват: 193 государства — члены ООН и два государства-наблюдателя.</v>
      </c>
      <c r="H82" s="6" t="n">
        <v>46300</v>
      </c>
      <c r="I82" s="3" t="str">
        <v>Основной охват</v>
      </c>
      <c r="J82" s="8" t="n">
        <v>1</v>
      </c>
    </row>
    <row r="83" ht="48" customHeight="1">
      <c r="A83" s="3" t="str">
        <v>Кот-д’Ивуар</v>
      </c>
      <c r="B83" s="3" t="str">
        <v>Западная Африка</v>
      </c>
      <c r="C83" s="3" t="str">
        <v>Объединение обнаружено</v>
      </c>
      <c r="D83" s="3" t="str">
        <v>Ивуарийская ассоциация преподавателей философии</v>
      </c>
      <c r="E83" s="3" t="str">
        <v>Проверены реестры FISP / региональных федераций и первичные страницы найденной организации.</v>
      </c>
      <c r="F83" s="7" t="str">
        <v>https://www.fisp.org/members/national-societies</v>
      </c>
      <c r="G83" s="3" t="str">
        <v>Основной охват: 193 государства — члены ООН и два государства-наблюдателя.</v>
      </c>
      <c r="H83" s="6" t="n">
        <v>46300</v>
      </c>
      <c r="I83" s="3" t="str">
        <v>Основной охват</v>
      </c>
      <c r="J83" s="8" t="n">
        <v>1</v>
      </c>
    </row>
    <row r="84" ht="48" customHeight="1">
      <c r="A84" s="3" t="str">
        <v>Куба</v>
      </c>
      <c r="B84" s="3" t="str">
        <v>Карибский бассейн</v>
      </c>
      <c r="C84" s="3" t="str">
        <v>Объединение обнаружено</v>
      </c>
      <c r="D84" s="3" t="str">
        <v>Кубинское общество философских исследований</v>
      </c>
      <c r="E84" s="3" t="str">
        <v>Проверены реестры FISP / региональных федераций и первичные страницы найденной организации.</v>
      </c>
      <c r="F84" s="7" t="str">
        <v>https://www.fisp.org/members/national-societies</v>
      </c>
      <c r="G84" s="3" t="str">
        <v>Основной охват: 193 государства — члены ООН и два государства-наблюдателя.</v>
      </c>
      <c r="H84" s="6" t="n">
        <v>46300</v>
      </c>
      <c r="I84" s="3" t="str">
        <v>Основной охват</v>
      </c>
      <c r="J84" s="8" t="n">
        <v>1</v>
      </c>
    </row>
    <row r="85" ht="48" customHeight="1">
      <c r="A85" s="3" t="str">
        <v>Кувейт</v>
      </c>
      <c r="B85" s="3" t="str">
        <v>Ближний Восток</v>
      </c>
      <c r="C85" s="3" t="str">
        <v>Не удалось достоверно определить</v>
      </c>
      <c r="D85" s="3" t="str">
        <v>Не обнаружен</v>
      </c>
      <c r="E85" s="3" t="str">
        <v>"جمعية" "فلسفة" "الكويت"</v>
      </c>
      <c r="F85" s="3" t="str">
        <v>Не обнаружен</v>
      </c>
      <c r="G8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5" s="6" t="n">
        <v>46300</v>
      </c>
      <c r="I85" s="3" t="str">
        <v>Основной охват</v>
      </c>
      <c r="J85" s="8" t="n">
        <v>0</v>
      </c>
    </row>
    <row r="86" ht="48" customHeight="1">
      <c r="A86" s="3" t="str">
        <v>Кыргызстан</v>
      </c>
      <c r="B86" s="3" t="str">
        <v>Центральная Азия</v>
      </c>
      <c r="C86" s="3" t="str">
        <v>Не удалось достоверно определить</v>
      </c>
      <c r="D86" s="3" t="str">
        <v>Не обнаружен</v>
      </c>
      <c r="E86" s="3" t="str">
        <v>Кыргызстан "философское общество" ассоциация философов</v>
      </c>
      <c r="F86" s="3" t="str">
        <v>Не обнаружен</v>
      </c>
      <c r="G8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6" s="6" t="n">
        <v>46300</v>
      </c>
      <c r="I86" s="3" t="str">
        <v>Основной охват</v>
      </c>
      <c r="J86" s="8" t="n">
        <v>0</v>
      </c>
    </row>
    <row r="87" ht="48" customHeight="1">
      <c r="A87" s="3" t="str">
        <v>Лаос</v>
      </c>
      <c r="B87" s="3" t="str">
        <v>Юго-Восточная Азия</v>
      </c>
      <c r="C87" s="3" t="str">
        <v>Не удалось достоверно определить</v>
      </c>
      <c r="D87" s="3" t="str">
        <v>Не обнаружен</v>
      </c>
      <c r="E87" s="3" t="str">
        <v>Laos Lao philosophical association society</v>
      </c>
      <c r="F87" s="3" t="str">
        <v>Не обнаружен</v>
      </c>
      <c r="G8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7" s="6" t="n">
        <v>46300</v>
      </c>
      <c r="I87" s="3" t="str">
        <v>Основной охват</v>
      </c>
      <c r="J87" s="8" t="n">
        <v>0</v>
      </c>
    </row>
    <row r="88" ht="48" customHeight="1">
      <c r="A88" s="3" t="str">
        <v>Латвия</v>
      </c>
      <c r="B88" s="3" t="str">
        <v>Северная Европа</v>
      </c>
      <c r="C88" s="3" t="str">
        <v>Не удалось достоверно определить</v>
      </c>
      <c r="D88" s="3" t="str">
        <v>Не обнаружен</v>
      </c>
      <c r="E88" s="3" t="str">
        <v>"Latvijas Filozofu Asociācija"
"Latvijas" "filozofu" biedrība
"Latvijas filozofu biedrība"</v>
      </c>
      <c r="F88" s="3" t="str">
        <v>Не обнаружен</v>
      </c>
      <c r="G8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8" s="6" t="n">
        <v>46300</v>
      </c>
      <c r="I88" s="3" t="str">
        <v>Основной охват</v>
      </c>
      <c r="J88" s="8" t="n">
        <v>0</v>
      </c>
    </row>
    <row r="89" ht="48" customHeight="1">
      <c r="A89" s="3" t="str">
        <v>Лесото</v>
      </c>
      <c r="B89" s="3" t="str">
        <v>Южная Африка</v>
      </c>
      <c r="C89" s="3" t="str">
        <v>Не удалось достоверно определить</v>
      </c>
      <c r="D89" s="3" t="str">
        <v>Не обнаружен</v>
      </c>
      <c r="E89" s="3" t="str">
        <v>"Lesotho" philosophical society association</v>
      </c>
      <c r="F89" s="3" t="str">
        <v>Не обнаружен</v>
      </c>
      <c r="G8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89" s="6" t="n">
        <v>46300</v>
      </c>
      <c r="I89" s="3" t="str">
        <v>Основной охват</v>
      </c>
      <c r="J89" s="8" t="n">
        <v>0</v>
      </c>
    </row>
    <row r="90" ht="48" customHeight="1">
      <c r="A90" s="3" t="str">
        <v>Либерия</v>
      </c>
      <c r="B90" s="3" t="str">
        <v>Западная Африка</v>
      </c>
      <c r="C90" s="3" t="str">
        <v>Не удалось достоверно определить</v>
      </c>
      <c r="D90" s="3" t="str">
        <v>Не обнаружен</v>
      </c>
      <c r="E90" s="3" t="str">
        <v>"Liberia" "philosophical society" OR "philosophical association"</v>
      </c>
      <c r="F90" s="3" t="str">
        <v>Не обнаружен</v>
      </c>
      <c r="G9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0" s="6" t="n">
        <v>46300</v>
      </c>
      <c r="I90" s="3" t="str">
        <v>Основной охват</v>
      </c>
      <c r="J90" s="8" t="n">
        <v>0</v>
      </c>
    </row>
    <row r="91" ht="48" customHeight="1">
      <c r="A91" s="3" t="str">
        <v>Ливан</v>
      </c>
      <c r="B91" s="3" t="str">
        <v>Ближний Восток</v>
      </c>
      <c r="C91" s="3" t="str">
        <v>Объединение обнаружено</v>
      </c>
      <c r="D91" s="3" t="str">
        <v>Ливанское философское общество</v>
      </c>
      <c r="E91" s="3" t="str">
        <v>"Société libanaise de philosophie" OR "الجمعية الفلسفية اللبنانية"
"الجمعية الفلسفية اللبنانية"</v>
      </c>
      <c r="F91" s="7" t="str">
        <v>https://ul.edu.lb/ar/teachers/%D8%B3%D8%B9%D8%A7%D8%AF-%D9%85%D8%AD%D9%85%D8%AF-%D8%AA%D9%88%D9%81%D9%8A%D9%82-%D8%A7%D9%84%D8%AD%D9%83%D9%8A%D9%85/2869</v>
      </c>
      <c r="G91" s="3" t="str">
        <v>Основной охват: 193 государства — члены ООН и два государства-наблюдателя.</v>
      </c>
      <c r="H91" s="6" t="n">
        <v>46300</v>
      </c>
      <c r="I91" s="3" t="str">
        <v>Основной охват</v>
      </c>
      <c r="J91" s="8" t="n">
        <v>1</v>
      </c>
    </row>
    <row r="92" ht="48" customHeight="1">
      <c r="A92" s="3" t="str">
        <v>Ливия</v>
      </c>
      <c r="B92" s="3" t="str">
        <v>Северная Африка</v>
      </c>
      <c r="C92" s="3" t="str">
        <v>Объединение обнаружено</v>
      </c>
      <c r="D92" s="3" t="str">
        <v>Ливийское философское общество</v>
      </c>
      <c r="E92" s="3" t="str">
        <v>"ليبيا" "جمعية" "فلسفة"</v>
      </c>
      <c r="F92" s="7" t="str">
        <v>https://liasinstitute.com/ar/najib-elhassadi/</v>
      </c>
      <c r="G92" s="3" t="str">
        <v>Основной охват: 193 государства — члены ООН и два государства-наблюдателя.</v>
      </c>
      <c r="H92" s="6" t="n">
        <v>46300</v>
      </c>
      <c r="I92" s="3" t="str">
        <v>Основной охват</v>
      </c>
      <c r="J92" s="8" t="n">
        <v>1</v>
      </c>
    </row>
    <row r="93" ht="48" customHeight="1">
      <c r="A93" s="3" t="str">
        <v>Литва</v>
      </c>
      <c r="B93" s="3" t="str">
        <v>Северная Европа</v>
      </c>
      <c r="C93" s="3" t="str">
        <v>Объединение обнаружено</v>
      </c>
      <c r="D93" s="3" t="str">
        <v>Общество философов Литвы</v>
      </c>
      <c r="E93" s="3" t="str">
        <v>Проверены реестры FISP / региональных федераций и первичные страницы найденной организации.</v>
      </c>
      <c r="F93" s="7" t="str">
        <v>https://www.lkti.lt/naujienos/kasmetine-lietuvos-filosofu-draugijos-konferencija-2026/</v>
      </c>
      <c r="G93" s="3" t="str">
        <v>Основной охват: 193 государства — члены ООН и два государства-наблюдателя.</v>
      </c>
      <c r="H93" s="6" t="n">
        <v>46300</v>
      </c>
      <c r="I93" s="3" t="str">
        <v>Основной охват</v>
      </c>
      <c r="J93" s="8" t="n">
        <v>1</v>
      </c>
    </row>
    <row r="94" ht="48" customHeight="1">
      <c r="A94" s="3" t="str">
        <v>Лихтенштейн</v>
      </c>
      <c r="B94" s="3" t="str">
        <v>Западная Европа</v>
      </c>
      <c r="C94" s="3" t="str">
        <v>Не удалось достоверно определить</v>
      </c>
      <c r="D94" s="3" t="str">
        <v>Не обнаружен</v>
      </c>
      <c r="E94" s="3" t="str">
        <v>Liechtenstein philosophische Gesellschaft Verein Philosophie</v>
      </c>
      <c r="F94" s="3" t="str">
        <v>Не обнаружен</v>
      </c>
      <c r="G9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4" s="6" t="n">
        <v>46300</v>
      </c>
      <c r="I94" s="3" t="str">
        <v>Основной охват</v>
      </c>
      <c r="J94" s="8" t="n">
        <v>0</v>
      </c>
    </row>
    <row r="95" ht="48" customHeight="1">
      <c r="A95" s="3" t="str">
        <v>Люксембург</v>
      </c>
      <c r="B95" s="3" t="str">
        <v>Западная Европа</v>
      </c>
      <c r="C95" s="3" t="str">
        <v>Объединение обнаружено</v>
      </c>
      <c r="D95" s="3" t="str">
        <v>Философский кружок Люксембурга</v>
      </c>
      <c r="E95" s="3" t="str">
        <v>Проверены реестры FISP / региональных федераций и первичные страницы найденной организации.</v>
      </c>
      <c r="F95" s="7" t="str">
        <v>https://www.fisp.org/members/national-societies</v>
      </c>
      <c r="G95" s="3" t="str">
        <v>Основной охват: 193 государства — члены ООН и два государства-наблюдателя.</v>
      </c>
      <c r="H95" s="6" t="n">
        <v>46300</v>
      </c>
      <c r="I95" s="3" t="str">
        <v>Основной охват</v>
      </c>
      <c r="J95" s="8" t="n">
        <v>1</v>
      </c>
    </row>
    <row r="96" ht="48" customHeight="1">
      <c r="A96" s="3" t="str">
        <v>Маврикий</v>
      </c>
      <c r="B96" s="3" t="str">
        <v>Восточная Африка</v>
      </c>
      <c r="C96" s="3" t="str">
        <v>Не удалось достоверно определить</v>
      </c>
      <c r="D96" s="3" t="str">
        <v>Не обнаружен</v>
      </c>
      <c r="E96" s="3" t="str">
        <v>"Mauritius" philosophical society association philosophie</v>
      </c>
      <c r="F96" s="3" t="str">
        <v>Не обнаружен</v>
      </c>
      <c r="G9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6" s="6" t="n">
        <v>46300</v>
      </c>
      <c r="I96" s="3" t="str">
        <v>Основной охват</v>
      </c>
      <c r="J96" s="8" t="n">
        <v>0</v>
      </c>
    </row>
    <row r="97" ht="48" customHeight="1">
      <c r="A97" s="3" t="str">
        <v>Мавритания</v>
      </c>
      <c r="B97" s="3" t="str">
        <v>Западная Африка</v>
      </c>
      <c r="C97" s="3" t="str">
        <v>Не удалось достоверно определить</v>
      </c>
      <c r="D97" s="3" t="str">
        <v>Не обнаружен</v>
      </c>
      <c r="E97" s="3" t="str">
        <v>"موريتانيا" "جمعية" "فلسفة"</v>
      </c>
      <c r="F97" s="3" t="str">
        <v>Не обнаружен</v>
      </c>
      <c r="G9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7" s="6" t="n">
        <v>46300</v>
      </c>
      <c r="I97" s="3" t="str">
        <v>Основной охват</v>
      </c>
      <c r="J97" s="8" t="n">
        <v>0</v>
      </c>
    </row>
    <row r="98" ht="48" customHeight="1">
      <c r="A98" s="3" t="str">
        <v>Мадагаскар</v>
      </c>
      <c r="B98" s="3" t="str">
        <v>Восточная Африка</v>
      </c>
      <c r="C98" s="3" t="str">
        <v>Не удалось достоверно определить</v>
      </c>
      <c r="D98" s="3" t="str">
        <v>Не обнаружен</v>
      </c>
      <c r="E98" s="3" t="str">
        <v>"Madagascar" "société" "philosophie" association</v>
      </c>
      <c r="F98" s="3" t="str">
        <v>Не обнаружен</v>
      </c>
      <c r="G9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8" s="6" t="n">
        <v>46300</v>
      </c>
      <c r="I98" s="3" t="str">
        <v>Основной охват</v>
      </c>
      <c r="J98" s="8" t="n">
        <v>0</v>
      </c>
    </row>
    <row r="99" ht="48" customHeight="1">
      <c r="A99" s="3" t="str">
        <v>Малави</v>
      </c>
      <c r="B99" s="3" t="str">
        <v>Восточная Африка</v>
      </c>
      <c r="C99" s="3" t="str">
        <v>Не удалось достоверно определить</v>
      </c>
      <c r="D99" s="3" t="str">
        <v>Не обнаружен</v>
      </c>
      <c r="E99" s="3" t="str">
        <v>"Malawi" "philosophical society" OR "philosophical association"</v>
      </c>
      <c r="F99" s="3" t="str">
        <v>Не обнаружен</v>
      </c>
      <c r="G9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99" s="6" t="n">
        <v>46300</v>
      </c>
      <c r="I99" s="3" t="str">
        <v>Основной охват</v>
      </c>
      <c r="J99" s="8" t="n">
        <v>0</v>
      </c>
    </row>
    <row r="100" ht="48" customHeight="1">
      <c r="A100" s="3" t="str">
        <v>Малайзия</v>
      </c>
      <c r="B100" s="3" t="str">
        <v>Юго-Восточная Азия</v>
      </c>
      <c r="C100" s="3" t="str">
        <v>Объединение обнаружено</v>
      </c>
      <c r="D100" s="3" t="str">
        <v>Малайзийская ассоциация философского образования и мышления</v>
      </c>
      <c r="E100" s="3" t="str">
        <v>Не удалось достоверно установить</v>
      </c>
      <c r="F100" s="7" t="str">
        <v>https://ppfpm.org/tentang-kami/</v>
      </c>
      <c r="G100" s="3" t="str">
        <v>Основной охват: 193 государства — члены ООН и два государства-наблюдателя.</v>
      </c>
      <c r="H100" s="6" t="n">
        <v>46300</v>
      </c>
      <c r="I100" s="3" t="str">
        <v>Основной охват</v>
      </c>
      <c r="J100" s="8" t="n">
        <v>1</v>
      </c>
    </row>
    <row r="101" ht="48" customHeight="1">
      <c r="A101" s="3" t="str">
        <v>Мали</v>
      </c>
      <c r="B101" s="3" t="str">
        <v>Западная Африка</v>
      </c>
      <c r="C101" s="3" t="str">
        <v>Не удалось достоверно определить</v>
      </c>
      <c r="D101" s="3" t="str">
        <v>Не обнаружен</v>
      </c>
      <c r="E101" s="3" t="str">
        <v>"Mali" "association" "philosophie" nationale</v>
      </c>
      <c r="F101" s="3" t="str">
        <v>Не обнаружен</v>
      </c>
      <c r="G10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01" s="6" t="n">
        <v>46300</v>
      </c>
      <c r="I101" s="3" t="str">
        <v>Основной охват</v>
      </c>
      <c r="J101" s="8" t="n">
        <v>0</v>
      </c>
    </row>
    <row r="102" ht="48" customHeight="1">
      <c r="A102" s="3" t="str">
        <v>Мальдивы</v>
      </c>
      <c r="B102" s="3" t="str">
        <v>Южная Азия</v>
      </c>
      <c r="C102" s="3" t="str">
        <v>Не удалось достоверно определить</v>
      </c>
      <c r="D102" s="3" t="str">
        <v>Не обнаружен</v>
      </c>
      <c r="E102" s="3" t="str">
        <v>Maldives philosophy society association</v>
      </c>
      <c r="F102" s="3" t="str">
        <v>Не обнаружен</v>
      </c>
      <c r="G10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02" s="6" t="n">
        <v>46300</v>
      </c>
      <c r="I102" s="3" t="str">
        <v>Основной охват</v>
      </c>
      <c r="J102" s="8" t="n">
        <v>0</v>
      </c>
    </row>
    <row r="103" ht="48" customHeight="1">
      <c r="A103" s="3" t="str">
        <v>Мальта</v>
      </c>
      <c r="B103" s="3" t="str">
        <v>Южная Европа</v>
      </c>
      <c r="C103" s="3" t="str">
        <v>Объединение обнаружено</v>
      </c>
      <c r="D103" s="3" t="str">
        <v>Фонд распространения философии</v>
      </c>
      <c r="E103" s="3" t="str">
        <v>Проверены реестры FISP / региональных федераций и первичные страницы найденной организации.</v>
      </c>
      <c r="F103" s="7" t="str">
        <v>https://www.philosophysharing.org/about-2</v>
      </c>
      <c r="G103" s="3" t="str">
        <v>Основной охват: 193 государства — члены ООН и два государства-наблюдателя.</v>
      </c>
      <c r="H103" s="6" t="n">
        <v>46300</v>
      </c>
      <c r="I103" s="3" t="str">
        <v>Основной охват</v>
      </c>
      <c r="J103" s="8" t="n">
        <v>1</v>
      </c>
    </row>
    <row r="104" ht="48" customHeight="1">
      <c r="A104" s="3" t="str">
        <v>Марокко</v>
      </c>
      <c r="B104" s="3" t="str">
        <v>Северная Африка</v>
      </c>
      <c r="C104" s="3" t="str">
        <v>Объединение обнаружено</v>
      </c>
      <c r="D104" s="3" t="str">
        <v>Марокканская философская ассоциация</v>
      </c>
      <c r="E104" s="3" t="str">
        <v>Проверены реестры FISP / региональных федераций и первичные страницы найденной организации.</v>
      </c>
      <c r="F104" s="7" t="str">
        <v>https://www.fisp.org/members/national-societies</v>
      </c>
      <c r="G104" s="3" t="str">
        <v>Основной охват: 193 государства — члены ООН и два государства-наблюдателя.</v>
      </c>
      <c r="H104" s="6" t="n">
        <v>46300</v>
      </c>
      <c r="I104" s="3" t="str">
        <v>Основной охват</v>
      </c>
      <c r="J104" s="8" t="n">
        <v>1</v>
      </c>
    </row>
    <row r="105" ht="48" customHeight="1">
      <c r="A105" s="3" t="str">
        <v>Маршалловы Острова</v>
      </c>
      <c r="B105" s="3" t="str">
        <v>Океания</v>
      </c>
      <c r="C105" s="3" t="str">
        <v>Не удалось достоверно определить</v>
      </c>
      <c r="D105" s="3" t="str">
        <v>Не обнаружен</v>
      </c>
      <c r="E105" s="3" t="str">
        <v>"Marshall Islands" philosophical society association</v>
      </c>
      <c r="F105" s="3" t="str">
        <v>Не обнаружен</v>
      </c>
      <c r="G10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05" s="6" t="n">
        <v>46300</v>
      </c>
      <c r="I105" s="3" t="str">
        <v>Основной охват</v>
      </c>
      <c r="J105" s="8" t="n">
        <v>0</v>
      </c>
    </row>
    <row r="106" ht="48" customHeight="1">
      <c r="A106" s="3" t="str">
        <v>Мексика</v>
      </c>
      <c r="B106" s="3" t="str">
        <v>Северная Америка</v>
      </c>
      <c r="C106" s="3" t="str">
        <v>Объединение обнаружено</v>
      </c>
      <c r="D106" s="3" t="str">
        <v>Мексиканское философское общество
Философская ассоциация Мексики</v>
      </c>
      <c r="E106" s="3" t="str">
        <v>Проверены реестры FISP / региональных федераций и первичные страницы найденной организации.</v>
      </c>
      <c r="F106" s="7" t="str">
        <v>https://asociacionfilosoficamx.com/</v>
      </c>
      <c r="G106" s="3" t="str">
        <v>Основной охват: 193 государства — члены ООН и два государства-наблюдателя.</v>
      </c>
      <c r="H106" s="6" t="n">
        <v>46300</v>
      </c>
      <c r="I106" s="3" t="str">
        <v>Основной охват</v>
      </c>
      <c r="J106" s="8" t="n">
        <v>2</v>
      </c>
    </row>
    <row r="107" ht="48" customHeight="1">
      <c r="A107" s="3" t="str">
        <v>Мозамбик</v>
      </c>
      <c r="B107" s="3" t="str">
        <v>Восточная Африка</v>
      </c>
      <c r="C107" s="3" t="str">
        <v>Не удалось достоверно определить</v>
      </c>
      <c r="D107" s="3" t="str">
        <v>Не обнаружен</v>
      </c>
      <c r="E107" s="3" t="str">
        <v>"Moçambique" associação filosofia filósofos</v>
      </c>
      <c r="F107" s="3" t="str">
        <v>Не обнаружен</v>
      </c>
      <c r="G10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07" s="6" t="n">
        <v>46300</v>
      </c>
      <c r="I107" s="3" t="str">
        <v>Основной охват</v>
      </c>
      <c r="J107" s="8" t="n">
        <v>0</v>
      </c>
    </row>
    <row r="108" ht="48" customHeight="1">
      <c r="A108" s="3" t="str">
        <v>Молдова</v>
      </c>
      <c r="B108" s="3" t="str">
        <v>Восточная Европа</v>
      </c>
      <c r="C108" s="3" t="str">
        <v>Объединение обнаружено</v>
      </c>
      <c r="D108" s="3" t="str">
        <v>Ассоциация философии Республики Молдова</v>
      </c>
      <c r="E108" s="3" t="str">
        <v>Moldova societatea filosofie asociația filosofilor
Republica Moldova asociația filosofilor societate filosofie</v>
      </c>
      <c r="F108" s="7" t="str">
        <v>https://msuir.usm.md/server/api/core/bitstreams/a3729c09-7480-44bf-ad49-1e6b87ae0a90/content</v>
      </c>
      <c r="G108" s="3" t="str">
        <v>Основной охват: 193 государства — члены ООН и два государства-наблюдателя.</v>
      </c>
      <c r="H108" s="6" t="n">
        <v>46300</v>
      </c>
      <c r="I108" s="3" t="str">
        <v>Основной охват</v>
      </c>
      <c r="J108" s="8" t="n">
        <v>1</v>
      </c>
    </row>
    <row r="109" ht="48" customHeight="1">
      <c r="A109" s="3" t="str">
        <v>Монако</v>
      </c>
      <c r="B109" s="3" t="str">
        <v>Западная Европа</v>
      </c>
      <c r="C109" s="3" t="str">
        <v>Не удалось достоверно определить</v>
      </c>
      <c r="D109" s="3" t="str">
        <v>Не обнаружен</v>
      </c>
      <c r="E109" s="3" t="str">
        <v>Monaco association philosophique société philosophie
"Les Rencontres Philosophiques de Monaco" présidente 2026</v>
      </c>
      <c r="F109" s="3" t="str">
        <v>Не обнаружен</v>
      </c>
      <c r="G10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09" s="6" t="n">
        <v>46300</v>
      </c>
      <c r="I109" s="3" t="str">
        <v>Основной охват</v>
      </c>
      <c r="J109" s="8" t="n">
        <v>0</v>
      </c>
    </row>
    <row r="110" ht="48" customHeight="1">
      <c r="A110" s="3" t="str">
        <v>Монголия</v>
      </c>
      <c r="B110" s="3" t="str">
        <v>Восточная Азия</v>
      </c>
      <c r="C110" s="3" t="str">
        <v>Объединение обнаружено</v>
      </c>
      <c r="D110" s="3" t="str">
        <v>Монгольская философская ассоциация</v>
      </c>
      <c r="E110" s="3" t="str">
        <v>Проверены реестры FISP / региональных федераций и первичные страницы найденной организации.</v>
      </c>
      <c r="F110" s="7" t="str">
        <v>https://www.fisp.org/members/national-societies</v>
      </c>
      <c r="G110" s="3" t="str">
        <v>Основной охват: 193 государства — члены ООН и два государства-наблюдателя.</v>
      </c>
      <c r="H110" s="6" t="n">
        <v>46300</v>
      </c>
      <c r="I110" s="3" t="str">
        <v>Основной охват</v>
      </c>
      <c r="J110" s="8" t="n">
        <v>1</v>
      </c>
    </row>
    <row r="111" ht="48" customHeight="1">
      <c r="A111" s="3" t="str">
        <v>Мьянма</v>
      </c>
      <c r="B111" s="3" t="str">
        <v>Юго-Восточная Азия</v>
      </c>
      <c r="C111" s="3" t="str">
        <v>Не удалось достоверно определить</v>
      </c>
      <c r="D111" s="3" t="str">
        <v>Не обнаружен</v>
      </c>
      <c r="E111" s="3" t="str">
        <v>Myanmar philosophical association society philosophy မြန်မာ ဒဿန အသင်း</v>
      </c>
      <c r="F111" s="3" t="str">
        <v>Не обнаружен</v>
      </c>
      <c r="G11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11" s="6" t="n">
        <v>46300</v>
      </c>
      <c r="I111" s="3" t="str">
        <v>Основной охват</v>
      </c>
      <c r="J111" s="8" t="n">
        <v>0</v>
      </c>
    </row>
    <row r="112" ht="48" customHeight="1">
      <c r="A112" s="3" t="str">
        <v>Намибия</v>
      </c>
      <c r="B112" s="3" t="str">
        <v>Южная Африка</v>
      </c>
      <c r="C112" s="3" t="str">
        <v>Не удалось достоверно определить</v>
      </c>
      <c r="D112" s="3" t="str">
        <v>Не обнаружен</v>
      </c>
      <c r="E112" s="3" t="str">
        <v>"Namibia" philosophical society association</v>
      </c>
      <c r="F112" s="3" t="str">
        <v>Не обнаружен</v>
      </c>
      <c r="G11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12" s="6" t="n">
        <v>46300</v>
      </c>
      <c r="I112" s="3" t="str">
        <v>Основной охват</v>
      </c>
      <c r="J112" s="8" t="n">
        <v>0</v>
      </c>
    </row>
    <row r="113" ht="48" customHeight="1">
      <c r="A113" s="3" t="str">
        <v>Науру</v>
      </c>
      <c r="B113" s="3" t="str">
        <v>Океания</v>
      </c>
      <c r="C113" s="3" t="str">
        <v>Не удалось достоверно определить</v>
      </c>
      <c r="D113" s="3" t="str">
        <v>Не обнаружен</v>
      </c>
      <c r="E113" s="3" t="str">
        <v>"Nauru" philosophical society philosophy association</v>
      </c>
      <c r="F113" s="3" t="str">
        <v>Не обнаружен</v>
      </c>
      <c r="G11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13" s="6" t="n">
        <v>46300</v>
      </c>
      <c r="I113" s="3" t="str">
        <v>Основной охват</v>
      </c>
      <c r="J113" s="8" t="n">
        <v>0</v>
      </c>
    </row>
    <row r="114" ht="48" customHeight="1">
      <c r="A114" s="3" t="str">
        <v>Непал</v>
      </c>
      <c r="B114" s="3" t="str">
        <v>Южная Азия</v>
      </c>
      <c r="C114" s="3" t="str">
        <v>Объединение обнаружено</v>
      </c>
      <c r="D114" s="3" t="str">
        <v>Общество философии и литературных исследований</v>
      </c>
      <c r="E114" s="3" t="str">
        <v>Проверены реестры FISP / региональных федераций и первичные страницы найденной организации.</v>
      </c>
      <c r="F114" s="7" t="str">
        <v>https://www.fisp.org/members/national-societies</v>
      </c>
      <c r="G114" s="3" t="str">
        <v>Основной охват: 193 государства — члены ООН и два государства-наблюдателя.</v>
      </c>
      <c r="H114" s="6" t="n">
        <v>46300</v>
      </c>
      <c r="I114" s="3" t="str">
        <v>Основной охват</v>
      </c>
      <c r="J114" s="8" t="n">
        <v>1</v>
      </c>
    </row>
    <row r="115" ht="48" customHeight="1">
      <c r="A115" s="3" t="str">
        <v>Нигер</v>
      </c>
      <c r="B115" s="3" t="str">
        <v>Западная Африка</v>
      </c>
      <c r="C115" s="3" t="str">
        <v>Не удалось достоверно определить</v>
      </c>
      <c r="D115" s="3" t="str">
        <v>Не обнаружен</v>
      </c>
      <c r="E115" s="3" t="str">
        <v>"Niger" "association" "philosophie" philosophes</v>
      </c>
      <c r="F115" s="3" t="str">
        <v>Не обнаружен</v>
      </c>
      <c r="G11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15" s="6" t="n">
        <v>46300</v>
      </c>
      <c r="I115" s="3" t="str">
        <v>Основной охват</v>
      </c>
      <c r="J115" s="8" t="n">
        <v>0</v>
      </c>
    </row>
    <row r="116" ht="48" customHeight="1">
      <c r="A116" s="3" t="str">
        <v>Нигерия</v>
      </c>
      <c r="B116" s="3" t="str">
        <v>Западная Африка</v>
      </c>
      <c r="C116" s="3" t="str">
        <v>Объединение обнаружено</v>
      </c>
      <c r="D116" s="3" t="str">
        <v>Ассоциация профессиональных философов Нигерии
Ассоциация философов Нигерии</v>
      </c>
      <c r="E116" s="3" t="str">
        <v>Проверены реестры FISP / региональных федераций и первичные страницы найденной организации.</v>
      </c>
      <c r="F116" s="7" t="str">
        <v>https://www.fisp.org/members/national-societies</v>
      </c>
      <c r="G116" s="3" t="str">
        <v>Основной охват: 193 государства — члены ООН и два государства-наблюдателя.</v>
      </c>
      <c r="H116" s="6" t="n">
        <v>46300</v>
      </c>
      <c r="I116" s="3" t="str">
        <v>Основной охват</v>
      </c>
      <c r="J116" s="8" t="n">
        <v>2</v>
      </c>
    </row>
    <row r="117" ht="48" customHeight="1">
      <c r="A117" s="3" t="str">
        <v>Нидерланды</v>
      </c>
      <c r="B117" s="3" t="str">
        <v>Западная Европа</v>
      </c>
      <c r="C117" s="3" t="str">
        <v>Объединение обнаружено</v>
      </c>
      <c r="D117" s="3" t="str">
        <v>Нидерландская исследовательская школа философии</v>
      </c>
      <c r="E117" s="3" t="str">
        <v>Проверены реестры FISP / региональных федераций и первичные страницы найденной организации.</v>
      </c>
      <c r="F117" s="7" t="str">
        <v>https://www.ozsw.nl/about-the-ozsw/</v>
      </c>
      <c r="G117" s="3" t="str">
        <v>Основной охват: 193 государства — члены ООН и два государства-наблюдателя.</v>
      </c>
      <c r="H117" s="6" t="n">
        <v>46300</v>
      </c>
      <c r="I117" s="3" t="str">
        <v>Основной охват</v>
      </c>
      <c r="J117" s="8" t="n">
        <v>1</v>
      </c>
    </row>
    <row r="118" ht="48" customHeight="1">
      <c r="A118" s="3" t="str">
        <v>Никарагуа</v>
      </c>
      <c r="B118" s="3" t="str">
        <v>Центральная Америка</v>
      </c>
      <c r="C118" s="3" t="str">
        <v>Не удалось достоверно определить</v>
      </c>
      <c r="D118" s="3" t="str">
        <v>Не обнаружен</v>
      </c>
      <c r="E118" s="3" t="str">
        <v>"Nicaragua" asociación filosofía sociedad filosófica</v>
      </c>
      <c r="F118" s="3" t="str">
        <v>Не обнаружен</v>
      </c>
      <c r="G11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18" s="6" t="n">
        <v>46300</v>
      </c>
      <c r="I118" s="3" t="str">
        <v>Основной охват</v>
      </c>
      <c r="J118" s="8" t="n">
        <v>0</v>
      </c>
    </row>
    <row r="119" ht="48" customHeight="1">
      <c r="A119" s="3" t="str">
        <v>Новая Зеландия</v>
      </c>
      <c r="B119" s="3" t="str">
        <v>Океания</v>
      </c>
      <c r="C119" s="3" t="str">
        <v>Объединение обнаружено</v>
      </c>
      <c r="D119" s="3" t="str">
        <v>Австралазийская философская ассоциация</v>
      </c>
      <c r="E119" s="3" t="str">
        <v>Проверены реестры FISP / региональных федераций и первичные страницы найденной организации.</v>
      </c>
      <c r="F119" s="7" t="str">
        <v>https://aap.org.au/about/Board</v>
      </c>
      <c r="G119" s="3" t="str">
        <v>Основной охват: 193 государства — члены ООН и два государства-наблюдателя. AAP объединяет Австралию, Новую Зеландию и Сингапур; одна организация учтена один раз, в регионе Австралия.</v>
      </c>
      <c r="H119" s="6" t="n">
        <v>46300</v>
      </c>
      <c r="I119" s="3" t="str">
        <v>Основной охват</v>
      </c>
      <c r="J119" s="8" t="n">
        <v>0</v>
      </c>
    </row>
    <row r="120" ht="48" customHeight="1">
      <c r="A120" s="3" t="str">
        <v>Норвегия</v>
      </c>
      <c r="B120" s="3" t="str">
        <v>Северная Европа</v>
      </c>
      <c r="C120" s="3" t="str">
        <v>Не удалось достоверно определить</v>
      </c>
      <c r="D120" s="3" t="str">
        <v>Не обнаружен</v>
      </c>
      <c r="E120" s="3" t="str">
        <v>Norsk filosofisk selskap styret 2026
"Norsk" "filosofisk forening"</v>
      </c>
      <c r="F120" s="3" t="str">
        <v>Не обнаружен</v>
      </c>
      <c r="G12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0" s="6" t="n">
        <v>46300</v>
      </c>
      <c r="I120" s="3" t="str">
        <v>Основной охват</v>
      </c>
      <c r="J120" s="8" t="n">
        <v>0</v>
      </c>
    </row>
    <row r="121" ht="48" customHeight="1">
      <c r="A121" s="3" t="str">
        <v>ОАЭ</v>
      </c>
      <c r="B121" s="3" t="str">
        <v>Ближний Восток</v>
      </c>
      <c r="C121" s="3" t="str">
        <v>Объединение обнаружено</v>
      </c>
      <c r="D121" s="3" t="str">
        <v>Дом философии в Фуджейре</v>
      </c>
      <c r="E121" s="3" t="str">
        <v>Проверены реестры FISP / региональных федераций и первичные страницы найденной организации.</v>
      </c>
      <c r="F121" s="7" t="str">
        <v>https://culturalmap.gov.ae/ar/facilities/philosophy-house</v>
      </c>
      <c r="G121" s="3" t="str">
        <v>Основной охват: 193 государства — члены ООН и два государства-наблюдателя.</v>
      </c>
      <c r="H121" s="6" t="n">
        <v>46300</v>
      </c>
      <c r="I121" s="3" t="str">
        <v>Основной охват</v>
      </c>
      <c r="J121" s="8" t="n">
        <v>1</v>
      </c>
    </row>
    <row r="122" ht="48" customHeight="1">
      <c r="A122" s="3" t="str">
        <v>Оман</v>
      </c>
      <c r="B122" s="3" t="str">
        <v>Ближний Восток</v>
      </c>
      <c r="C122" s="3" t="str">
        <v>Не удалось достоверно определить</v>
      </c>
      <c r="D122" s="3" t="str">
        <v>Не обнаружен</v>
      </c>
      <c r="E122" s="3" t="str">
        <v>"الجمعية" "الفلسفية" "عمان" سلطنة</v>
      </c>
      <c r="F122" s="3" t="str">
        <v>Не обнаружен</v>
      </c>
      <c r="G12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2" s="6" t="n">
        <v>46300</v>
      </c>
      <c r="I122" s="3" t="str">
        <v>Основной охват</v>
      </c>
      <c r="J122" s="8" t="n">
        <v>0</v>
      </c>
    </row>
    <row r="123" ht="48" customHeight="1">
      <c r="A123" s="3" t="str">
        <v>Пакистан</v>
      </c>
      <c r="B123" s="3" t="str">
        <v>Южная Азия</v>
      </c>
      <c r="C123" s="3" t="str">
        <v>Не удалось достоверно определить</v>
      </c>
      <c r="D123" s="3" t="str">
        <v>Не обнаружен</v>
      </c>
      <c r="E123" s="3" t="str">
        <v>Pakistan Philosophical Congress president 2026 official</v>
      </c>
      <c r="F123" s="3" t="str">
        <v>Не обнаружен</v>
      </c>
      <c r="G12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3" s="6" t="n">
        <v>46300</v>
      </c>
      <c r="I123" s="3" t="str">
        <v>Основной охват</v>
      </c>
      <c r="J123" s="8" t="n">
        <v>0</v>
      </c>
    </row>
    <row r="124" ht="48" customHeight="1">
      <c r="A124" s="3" t="str">
        <v>Палау</v>
      </c>
      <c r="B124" s="3" t="str">
        <v>Океания</v>
      </c>
      <c r="C124" s="3" t="str">
        <v>Не удалось достоверно определить</v>
      </c>
      <c r="D124" s="3" t="str">
        <v>Не обнаружен</v>
      </c>
      <c r="E124" s="3" t="str">
        <v>"Palau" philosophical society philosophy association</v>
      </c>
      <c r="F124" s="3" t="str">
        <v>Не обнаружен</v>
      </c>
      <c r="G12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4" s="6" t="n">
        <v>46300</v>
      </c>
      <c r="I124" s="3" t="str">
        <v>Основной охват</v>
      </c>
      <c r="J124" s="8" t="n">
        <v>0</v>
      </c>
    </row>
    <row r="125" ht="48" customHeight="1">
      <c r="A125" s="3" t="str">
        <v>Палестина</v>
      </c>
      <c r="B125" s="3" t="str">
        <v>Ближний Восток</v>
      </c>
      <c r="C125" s="3" t="str">
        <v>Не удалось достоверно определить</v>
      </c>
      <c r="D125" s="3" t="str">
        <v>Не обнаружен</v>
      </c>
      <c r="E125" s="3" t="str">
        <v>"جمعية" "فلسفة" "فلسطين"</v>
      </c>
      <c r="F125" s="3" t="str">
        <v>Не обнаружен</v>
      </c>
      <c r="G12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5" s="6" t="n">
        <v>46300</v>
      </c>
      <c r="I125" s="3" t="str">
        <v>Основной охват</v>
      </c>
      <c r="J125" s="8" t="n">
        <v>0</v>
      </c>
    </row>
    <row r="126" ht="74" customHeight="1">
      <c r="A126" s="3" t="str">
        <v>Панама</v>
      </c>
      <c r="B126" s="3" t="str">
        <v>Центральная Америка</v>
      </c>
      <c r="C126" s="3" t="str">
        <v>Не удалось достоверно определить</v>
      </c>
      <c r="D126" s="3" t="str">
        <v>Не обнаружен</v>
      </c>
      <c r="E126" s="3" t="str">
        <v>Проверены реестры FISP / региональных федераций и первичные страницы найденной организации.</v>
      </c>
      <c r="F126" s="7" t="str">
        <v>https://azurrevista.com/wp-content/uploads/2026/08/1_Acta-del-XIV-Congreso-Centroamericano-de-Filosofia.html</v>
      </c>
      <c r="G12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 Протокол ACAFI от 20.11.2025, опубликованный 20.07.2026, прямо сообщает: национальные ассоциации еще не созданы. Представители страны участвуют в ACAFI; действующая самостоятельная организация не подтверждена.</v>
      </c>
      <c r="H126" s="6" t="n">
        <v>46300</v>
      </c>
      <c r="I126" s="3" t="str">
        <v>Основной охват</v>
      </c>
      <c r="J126" s="8" t="n">
        <v>0</v>
      </c>
    </row>
    <row r="127" ht="48" customHeight="1">
      <c r="A127" s="3" t="str">
        <v>Папуа — Новая Гвинея</v>
      </c>
      <c r="B127" s="3" t="str">
        <v>Океания</v>
      </c>
      <c r="C127" s="3" t="str">
        <v>Не удалось достоверно определить</v>
      </c>
      <c r="D127" s="3" t="str">
        <v>Не обнаружен</v>
      </c>
      <c r="E127" s="3" t="str">
        <v>"Papua New Guinea" philosophy society association</v>
      </c>
      <c r="F127" s="3" t="str">
        <v>Не обнаружен</v>
      </c>
      <c r="G12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27" s="6" t="n">
        <v>46300</v>
      </c>
      <c r="I127" s="3" t="str">
        <v>Основной охват</v>
      </c>
      <c r="J127" s="8" t="n">
        <v>0</v>
      </c>
    </row>
    <row r="128" ht="48" customHeight="1">
      <c r="A128" s="3" t="str">
        <v>Парагвай</v>
      </c>
      <c r="B128" s="3" t="str">
        <v>Южная Америка</v>
      </c>
      <c r="C128" s="3" t="str">
        <v>Объединение обнаружено</v>
      </c>
      <c r="D128" s="3" t="str">
        <v>Парагвайское философское общество</v>
      </c>
      <c r="E128" s="3" t="str">
        <v>"Paraguay" "asociación" "filosofía"</v>
      </c>
      <c r="F128" s="7" t="str">
        <v>https://cifpy.wordpress.com/institucional/</v>
      </c>
      <c r="G128" s="3" t="str">
        <v>Основной охват: 193 государства — члены ООН и два государства-наблюдателя.</v>
      </c>
      <c r="H128" s="6" t="n">
        <v>46300</v>
      </c>
      <c r="I128" s="3" t="str">
        <v>Основной охват</v>
      </c>
      <c r="J128" s="8" t="n">
        <v>1</v>
      </c>
    </row>
    <row r="129" ht="48" customHeight="1">
      <c r="A129" s="3" t="str">
        <v>Перу</v>
      </c>
      <c r="B129" s="3" t="str">
        <v>Южная Америка</v>
      </c>
      <c r="C129" s="3" t="str">
        <v>Объединение обнаружено</v>
      </c>
      <c r="D129" s="3" t="str">
        <v>Перуанское философское общество</v>
      </c>
      <c r="E129" s="3" t="str">
        <v>"Sociedad Peruana de Filosofía" "presidente" 2026</v>
      </c>
      <c r="F129" s="7" t="str">
        <v>https://sociedadperuanadefilosofia.org.pe/nuestra-historia/</v>
      </c>
      <c r="G129" s="3" t="str">
        <v>Основной охват: 193 государства — члены ООН и два государства-наблюдателя.</v>
      </c>
      <c r="H129" s="6" t="n">
        <v>46300</v>
      </c>
      <c r="I129" s="3" t="str">
        <v>Основной охват</v>
      </c>
      <c r="J129" s="8" t="n">
        <v>1</v>
      </c>
    </row>
    <row r="130" ht="48" customHeight="1">
      <c r="A130" s="3" t="str">
        <v>Польша</v>
      </c>
      <c r="B130" s="3" t="str">
        <v>Восточная Европа</v>
      </c>
      <c r="C130" s="3" t="str">
        <v>Объединение обнаружено</v>
      </c>
      <c r="D130" s="3" t="str">
        <v>Польское философское общество</v>
      </c>
      <c r="E130" s="3" t="str">
        <v>Проверены реестры FISP / региональных федераций и первичные страницы найденной организации.</v>
      </c>
      <c r="F130" s="7" t="str">
        <v>https://ptfilozofia.pl/strony-ptf/ptf-statut/</v>
      </c>
      <c r="G130" s="3" t="str">
        <v>Основной охват: 193 государства — члены ООН и два государства-наблюдателя.</v>
      </c>
      <c r="H130" s="6" t="n">
        <v>46300</v>
      </c>
      <c r="I130" s="3" t="str">
        <v>Основной охват</v>
      </c>
      <c r="J130" s="8" t="n">
        <v>1</v>
      </c>
    </row>
    <row r="131" ht="48" customHeight="1">
      <c r="A131" s="3" t="str">
        <v>Португалия</v>
      </c>
      <c r="B131" s="3" t="str">
        <v>Южная Европа</v>
      </c>
      <c r="C131" s="3" t="str">
        <v>Объединение обнаружено</v>
      </c>
      <c r="D131" s="3" t="str">
        <v>Португальское философское общество</v>
      </c>
      <c r="E131" s="3" t="str">
        <v>Проверены реестры FISP / региональных федераций и первичные страницы найденной организации.</v>
      </c>
      <c r="F131" s="7" t="str">
        <v>https://www.spfil.pt/</v>
      </c>
      <c r="G131" s="3" t="str">
        <v>Основной охват: 193 государства — члены ООН и два государства-наблюдателя.</v>
      </c>
      <c r="H131" s="6" t="n">
        <v>46300</v>
      </c>
      <c r="I131" s="3" t="str">
        <v>Основной охват</v>
      </c>
      <c r="J131" s="8" t="n">
        <v>1</v>
      </c>
    </row>
    <row r="132" ht="48" customHeight="1">
      <c r="A132" s="3" t="str">
        <v>Россия</v>
      </c>
      <c r="B132" s="3" t="str">
        <v>Восточная Европа</v>
      </c>
      <c r="C132" s="3" t="str">
        <v>Объединение обнаружено</v>
      </c>
      <c r="D132" s="3" t="str">
        <v>Российское философское общество</v>
      </c>
      <c r="E132" s="3" t="str">
        <v>Проверены реестры FISP / региональных федераций и первичные страницы найденной организации.
"Российское философское общество" "президент" 2026</v>
      </c>
      <c r="F132" s="7" t="str">
        <v>https://www.fisp.org/members/national-societies</v>
      </c>
      <c r="G132" s="3" t="str">
        <v>Основной охват: 193 государства — члены ООН и два государства-наблюдателя.</v>
      </c>
      <c r="H132" s="6" t="n">
        <v>46300</v>
      </c>
      <c r="I132" s="3" t="str">
        <v>Основной охват</v>
      </c>
      <c r="J132" s="8" t="n">
        <v>1</v>
      </c>
    </row>
    <row r="133" ht="48" customHeight="1">
      <c r="A133" s="3" t="str">
        <v>Руанда</v>
      </c>
      <c r="B133" s="3" t="str">
        <v>Восточная Африка</v>
      </c>
      <c r="C133" s="3" t="str">
        <v>Объединение обнаружено</v>
      </c>
      <c r="D133" s="3" t="str">
        <v>Руандийская ассоциация философии</v>
      </c>
      <c r="E133" s="3" t="str">
        <v>"Rwanda" philosophical association society philosophie</v>
      </c>
      <c r="F133" s="7" t="str">
        <v>https://www.unesco.rw/IMG/pdf/007_december_2016.pdf</v>
      </c>
      <c r="G133" s="3" t="str">
        <v>Основной охват: 193 государства — члены ООН и два государства-наблюдателя.</v>
      </c>
      <c r="H133" s="6" t="n">
        <v>46300</v>
      </c>
      <c r="I133" s="3" t="str">
        <v>Основной охват</v>
      </c>
      <c r="J133" s="8" t="n">
        <v>1</v>
      </c>
    </row>
    <row r="134" ht="87" customHeight="1">
      <c r="A134" s="3" t="str">
        <v>Румыния</v>
      </c>
      <c r="B134" s="3" t="str">
        <v>Восточная Европа</v>
      </c>
      <c r="C134" s="3" t="str">
        <v>Не удалось достоверно определить</v>
      </c>
      <c r="D134" s="3" t="str">
        <v>Не обнаружен</v>
      </c>
      <c r="E134" s="3" t="str">
        <v>"Societatea Română de Filosofie" președinte 2026</v>
      </c>
      <c r="F134" s="7" t="str">
        <v>https://srfil.org/</v>
      </c>
      <c r="G13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 Страница srfil.org содержит общий образовательный шаблон с собственным названием и заявленной миссией, но не дает проверяемых сведений о членах, уставе, органах управления или реальной деятельности. Не подтверждено, что это действующее профессиональное национальное общество.</v>
      </c>
      <c r="H134" s="6" t="n">
        <v>46300</v>
      </c>
      <c r="I134" s="3" t="str">
        <v>Основной охват</v>
      </c>
      <c r="J134" s="8" t="n">
        <v>0</v>
      </c>
    </row>
    <row r="135" ht="48" customHeight="1">
      <c r="A135" s="3" t="str">
        <v>Сальвадор</v>
      </c>
      <c r="B135" s="3" t="str">
        <v>Центральная Америка</v>
      </c>
      <c r="C135" s="3" t="str">
        <v>Объединение обнаружено</v>
      </c>
      <c r="D135" s="3" t="str">
        <v>Сальвадорская философская ассоциация</v>
      </c>
      <c r="E135" s="3" t="str">
        <v>Проверены реестры FISP / региональных федераций и первичные страницы найденной организации.</v>
      </c>
      <c r="F135" s="7" t="str">
        <v>https://azurrevista.com/wp-content/uploads/2026/08/1_Acta-del-XIV-Congreso-Centroamericano-de-Filosofia.html</v>
      </c>
      <c r="G135" s="3" t="str">
        <v>Основной охват: 193 государства — члены ООН и два государства-наблюдателя.</v>
      </c>
      <c r="H135" s="6" t="n">
        <v>46300</v>
      </c>
      <c r="I135" s="3" t="str">
        <v>Основной охват</v>
      </c>
      <c r="J135" s="8" t="n">
        <v>1</v>
      </c>
    </row>
    <row r="136" ht="48" customHeight="1">
      <c r="A136" s="3" t="str">
        <v>Самоа</v>
      </c>
      <c r="B136" s="3" t="str">
        <v>Океания</v>
      </c>
      <c r="C136" s="3" t="str">
        <v>Не удалось достоверно определить</v>
      </c>
      <c r="D136" s="3" t="str">
        <v>Не обнаружен</v>
      </c>
      <c r="E136" s="3" t="str">
        <v>"Samoa" philosophical society association</v>
      </c>
      <c r="F136" s="3" t="str">
        <v>Не обнаружен</v>
      </c>
      <c r="G13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36" s="6" t="n">
        <v>46300</v>
      </c>
      <c r="I136" s="3" t="str">
        <v>Основной охват</v>
      </c>
      <c r="J136" s="8" t="n">
        <v>0</v>
      </c>
    </row>
    <row r="137" ht="48" customHeight="1">
      <c r="A137" s="3" t="str">
        <v>Сан-Марино</v>
      </c>
      <c r="B137" s="3" t="str">
        <v>Южная Европа</v>
      </c>
      <c r="C137" s="3" t="str">
        <v>Не удалось достоверно определить</v>
      </c>
      <c r="D137" s="3" t="str">
        <v>Не обнаружен</v>
      </c>
      <c r="E137" s="3" t="str">
        <v>"San Marino" associazione società filosofia</v>
      </c>
      <c r="F137" s="3" t="str">
        <v>Не обнаружен</v>
      </c>
      <c r="G13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37" s="6" t="n">
        <v>46300</v>
      </c>
      <c r="I137" s="3" t="str">
        <v>Основной охват</v>
      </c>
      <c r="J137" s="8" t="n">
        <v>0</v>
      </c>
    </row>
    <row r="138" ht="48" customHeight="1">
      <c r="A138" s="3" t="str">
        <v>Сан-Томе и Принсипи</v>
      </c>
      <c r="B138" s="3" t="str">
        <v>Центральная Африка</v>
      </c>
      <c r="C138" s="3" t="str">
        <v>Не удалось достоверно определить</v>
      </c>
      <c r="D138" s="3" t="str">
        <v>Не обнаружен</v>
      </c>
      <c r="E138" s="3" t="str">
        <v>"São Tomé" filosofia associação sociedade</v>
      </c>
      <c r="F138" s="3" t="str">
        <v>Не обнаружен</v>
      </c>
      <c r="G13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38" s="6" t="n">
        <v>46300</v>
      </c>
      <c r="I138" s="3" t="str">
        <v>Основной охват</v>
      </c>
      <c r="J138" s="8" t="n">
        <v>0</v>
      </c>
    </row>
    <row r="139" ht="48" customHeight="1">
      <c r="A139" s="3" t="str">
        <v>Саудовская Аравия</v>
      </c>
      <c r="B139" s="3" t="str">
        <v>Ближний Восток</v>
      </c>
      <c r="C139" s="3" t="str">
        <v>Объединение обнаружено</v>
      </c>
      <c r="D139" s="3" t="str">
        <v>Саудовское философское общество</v>
      </c>
      <c r="E139" s="3" t="str">
        <v>السعودية "جمعية الفلسفة" الموقع الرسمي</v>
      </c>
      <c r="F139" s="7" t="str">
        <v>https://saudiphilosophy.com/about/?lang=ar</v>
      </c>
      <c r="G139" s="3" t="str">
        <v>Основной охват: 193 государства — члены ООН и два государства-наблюдателя.</v>
      </c>
      <c r="H139" s="6" t="n">
        <v>46300</v>
      </c>
      <c r="I139" s="3" t="str">
        <v>Основной охват</v>
      </c>
      <c r="J139" s="8" t="n">
        <v>1</v>
      </c>
    </row>
    <row r="140" ht="48" customHeight="1">
      <c r="A140" s="3" t="str">
        <v>Северная Корея</v>
      </c>
      <c r="B140" s="3" t="str">
        <v>Восточная Азия</v>
      </c>
      <c r="C140" s="3" t="str">
        <v>Не удалось достоверно определить</v>
      </c>
      <c r="D140" s="3" t="str">
        <v>Не обнаружен</v>
      </c>
      <c r="E140" s="3" t="str">
        <v>조선철학연구회 철학 학회</v>
      </c>
      <c r="F140" s="3" t="str">
        <v>Не обнаружен</v>
      </c>
      <c r="G14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0" s="6" t="n">
        <v>46300</v>
      </c>
      <c r="I140" s="3" t="str">
        <v>Основной охват</v>
      </c>
      <c r="J140" s="8" t="n">
        <v>0</v>
      </c>
    </row>
    <row r="141" ht="48" customHeight="1">
      <c r="A141" s="3" t="str">
        <v>Северная Македония</v>
      </c>
      <c r="B141" s="3" t="str">
        <v>Южная Европа</v>
      </c>
      <c r="C141" s="3" t="str">
        <v>Объединение обнаружено</v>
      </c>
      <c r="D141" s="3" t="str">
        <v>Философское общество Македонии</v>
      </c>
      <c r="E141" s="3" t="str">
        <v>Проверены реестры FISP / региональных федераций и первичные страницы найденной организации.</v>
      </c>
      <c r="F141" s="7" t="str">
        <v>https://fdm.mk/za-nas/</v>
      </c>
      <c r="G141" s="3" t="str">
        <v>Основной охват: 193 государства — члены ООН и два государства-наблюдателя.</v>
      </c>
      <c r="H141" s="6" t="n">
        <v>46300</v>
      </c>
      <c r="I141" s="3" t="str">
        <v>Основной охват</v>
      </c>
      <c r="J141" s="8" t="n">
        <v>1</v>
      </c>
    </row>
    <row r="142" ht="48" customHeight="1">
      <c r="A142" s="3" t="str">
        <v>Сейшелы</v>
      </c>
      <c r="B142" s="3" t="str">
        <v>Восточная Африка</v>
      </c>
      <c r="C142" s="3" t="str">
        <v>Не удалось достоверно определить</v>
      </c>
      <c r="D142" s="3" t="str">
        <v>Не обнаружен</v>
      </c>
      <c r="E142" s="3" t="str">
        <v>"Seychelles" philosophical society association philosophie</v>
      </c>
      <c r="F142" s="3" t="str">
        <v>Не обнаружен</v>
      </c>
      <c r="G14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2" s="6" t="n">
        <v>46300</v>
      </c>
      <c r="I142" s="3" t="str">
        <v>Основной охват</v>
      </c>
      <c r="J142" s="8" t="n">
        <v>0</v>
      </c>
    </row>
    <row r="143" ht="48" customHeight="1">
      <c r="A143" s="3" t="str">
        <v>Сенегал</v>
      </c>
      <c r="B143" s="3" t="str">
        <v>Западная Африка</v>
      </c>
      <c r="C143" s="3" t="str">
        <v>Объединение обнаружено</v>
      </c>
      <c r="D143" s="3" t="str">
        <v>Сенегальская философская ассоциация
Сенегальское философское общество</v>
      </c>
      <c r="E143" s="3" t="str">
        <v>Проверены реестры FISP / региональных федераций и первичные страницы найденной организации.
"Association sénégalaise des professeurs de philosophie"</v>
      </c>
      <c r="F143" s="7" t="str">
        <v>https://caribbeanphilosophy.org/ecole-africaine-de-philosophie</v>
      </c>
      <c r="G143" s="3" t="str">
        <v>Основной охват: 193 государства — члены ООН и два государства-наблюдателя.</v>
      </c>
      <c r="H143" s="6" t="n">
        <v>46300</v>
      </c>
      <c r="I143" s="3" t="str">
        <v>Основной охват</v>
      </c>
      <c r="J143" s="8" t="n">
        <v>2</v>
      </c>
    </row>
    <row r="144" ht="48" customHeight="1">
      <c r="A144" s="3" t="str">
        <v>Сент-Винсент и Гренадины</v>
      </c>
      <c r="B144" s="3" t="str">
        <v>Карибский бассейн</v>
      </c>
      <c r="C144" s="3" t="str">
        <v>Не удалось достоверно определить</v>
      </c>
      <c r="D144" s="3" t="str">
        <v>Не обнаружен</v>
      </c>
      <c r="E144" s="3" t="str">
        <v>"Saint Vincent and the Grenadines" philosophy society association</v>
      </c>
      <c r="F144" s="3" t="str">
        <v>Не обнаружен</v>
      </c>
      <c r="G14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4" s="6" t="n">
        <v>46300</v>
      </c>
      <c r="I144" s="3" t="str">
        <v>Основной охват</v>
      </c>
      <c r="J144" s="8" t="n">
        <v>0</v>
      </c>
    </row>
    <row r="145" ht="48" customHeight="1">
      <c r="A145" s="3" t="str">
        <v>Сент-Китс и Невис</v>
      </c>
      <c r="B145" s="3" t="str">
        <v>Карибский бассейн</v>
      </c>
      <c r="C145" s="3" t="str">
        <v>Не удалось достоверно определить</v>
      </c>
      <c r="D145" s="3" t="str">
        <v>Не обнаружен</v>
      </c>
      <c r="E145" s="3" t="str">
        <v>"Saint Kitts and Nevis" philosophy society association</v>
      </c>
      <c r="F145" s="3" t="str">
        <v>Не обнаружен</v>
      </c>
      <c r="G14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5" s="6" t="n">
        <v>46300</v>
      </c>
      <c r="I145" s="3" t="str">
        <v>Основной охват</v>
      </c>
      <c r="J145" s="8" t="n">
        <v>0</v>
      </c>
    </row>
    <row r="146" ht="48" customHeight="1">
      <c r="A146" s="3" t="str">
        <v>Сент-Люсия</v>
      </c>
      <c r="B146" s="3" t="str">
        <v>Карибский бассейн</v>
      </c>
      <c r="C146" s="3" t="str">
        <v>Не удалось достоверно определить</v>
      </c>
      <c r="D146" s="3" t="str">
        <v>Не обнаружен</v>
      </c>
      <c r="E146" s="3" t="str">
        <v>"Saint Lucia" philosophy society association</v>
      </c>
      <c r="F146" s="3" t="str">
        <v>Не обнаружен</v>
      </c>
      <c r="G14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6" s="6" t="n">
        <v>46300</v>
      </c>
      <c r="I146" s="3" t="str">
        <v>Основной охват</v>
      </c>
      <c r="J146" s="8" t="n">
        <v>0</v>
      </c>
    </row>
    <row r="147" ht="48" customHeight="1">
      <c r="A147" s="3" t="str">
        <v>Сербия</v>
      </c>
      <c r="B147" s="3" t="str">
        <v>Южная Европа</v>
      </c>
      <c r="C147" s="3" t="str">
        <v>Объединение обнаружено</v>
      </c>
      <c r="D147" s="3" t="str">
        <v>Сербское философское общество</v>
      </c>
      <c r="E147" s="3" t="str">
        <v>"Српско филозофско друштво" председник 2026</v>
      </c>
      <c r="F147" s="7" t="str">
        <v>https://nitra.gov.rs/images/nauka/Kategorizacija%20naucnih%20casopisa/2025-05-13/lista-casopisa-2024.pdf</v>
      </c>
      <c r="G147" s="3" t="str">
        <v>Основной охват: 193 государства — члены ООН и два государства-наблюдателя.</v>
      </c>
      <c r="H147" s="6" t="n">
        <v>46300</v>
      </c>
      <c r="I147" s="3" t="str">
        <v>Основной охват</v>
      </c>
      <c r="J147" s="8" t="n">
        <v>1</v>
      </c>
    </row>
    <row r="148" ht="48" customHeight="1">
      <c r="A148" s="3" t="str">
        <v>Сингапур</v>
      </c>
      <c r="B148" s="3" t="str">
        <v>Юго-Восточная Азия</v>
      </c>
      <c r="C148" s="3" t="str">
        <v>Объединение обнаружено</v>
      </c>
      <c r="D148" s="3" t="str">
        <v>Австралазийская философская ассоциация</v>
      </c>
      <c r="E148" s="3" t="str">
        <v>Проверены реестры FISP / региональных федераций и первичные страницы найденной организации.</v>
      </c>
      <c r="F148" s="7" t="str">
        <v>https://aap.org.au/about/Board</v>
      </c>
      <c r="G148" s="3" t="str">
        <v>Основной охват: 193 государства — члены ООН и два государства-наблюдателя. AAP объединяет Австралию, Новую Зеландию и Сингапур; одна организация учтена один раз, в регионе Австралия.</v>
      </c>
      <c r="H148" s="6" t="n">
        <v>46300</v>
      </c>
      <c r="I148" s="3" t="str">
        <v>Основной охват</v>
      </c>
      <c r="J148" s="8" t="n">
        <v>0</v>
      </c>
    </row>
    <row r="149" ht="48" customHeight="1">
      <c r="A149" s="3" t="str">
        <v>Сирия</v>
      </c>
      <c r="B149" s="3" t="str">
        <v>Ближний Восток</v>
      </c>
      <c r="C149" s="3" t="str">
        <v>Не удалось достоверно определить</v>
      </c>
      <c r="D149" s="3" t="str">
        <v>Не обнаружен</v>
      </c>
      <c r="E149" s="3" t="str">
        <v>"الجمعية الفلسفية السورية"
"الجمعية السورية للفلسفة"</v>
      </c>
      <c r="F149" s="3" t="str">
        <v>Не обнаружен</v>
      </c>
      <c r="G14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49" s="6" t="n">
        <v>46300</v>
      </c>
      <c r="I149" s="3" t="str">
        <v>Основной охват</v>
      </c>
      <c r="J149" s="8" t="n">
        <v>0</v>
      </c>
    </row>
    <row r="150" ht="48" customHeight="1">
      <c r="A150" s="3" t="str">
        <v>Словакия</v>
      </c>
      <c r="B150" s="3" t="str">
        <v>Восточная Европа</v>
      </c>
      <c r="C150" s="3" t="str">
        <v>Объединение обнаружено</v>
      </c>
      <c r="D150" s="3" t="str">
        <v>Словацкое философское объединение</v>
      </c>
      <c r="E150" s="3" t="str">
        <v>Проверены реестры FISP / региональных федераций и первичные страницы найденной организации.
"Slovenské filozofické združenie" predseda 2025 2026</v>
      </c>
      <c r="F150" s="7" t="str">
        <v>https://www.fisp.org/members/national-societies</v>
      </c>
      <c r="G150" s="3" t="str">
        <v>Основной охват: 193 государства — члены ООН и два государства-наблюдателя.</v>
      </c>
      <c r="H150" s="6" t="n">
        <v>46300</v>
      </c>
      <c r="I150" s="3" t="str">
        <v>Основной охват</v>
      </c>
      <c r="J150" s="8" t="n">
        <v>1</v>
      </c>
    </row>
    <row r="151" ht="48" customHeight="1">
      <c r="A151" s="3" t="str">
        <v>Словения</v>
      </c>
      <c r="B151" s="3" t="str">
        <v>Южная Европа</v>
      </c>
      <c r="C151" s="3" t="str">
        <v>Объединение обнаружено</v>
      </c>
      <c r="D151" s="3" t="str">
        <v>Словенское философское общество</v>
      </c>
      <c r="E151" s="3" t="str">
        <v>Проверены реестры FISP / региональных федераций и первичные страницы найденной организации.
"Slovensko filozofsko društvo" predsednik 2026</v>
      </c>
      <c r="F151" s="7" t="str">
        <v>https://www.sfd-drustvo.si/o-drustvu/</v>
      </c>
      <c r="G151" s="3" t="str">
        <v>Основной охват: 193 государства — члены ООН и два государства-наблюдателя.</v>
      </c>
      <c r="H151" s="6" t="n">
        <v>46300</v>
      </c>
      <c r="I151" s="3" t="str">
        <v>Основной охват</v>
      </c>
      <c r="J151" s="8" t="n">
        <v>1</v>
      </c>
    </row>
    <row r="152" ht="48" customHeight="1">
      <c r="A152" s="3" t="str">
        <v>Соломоновы Острова</v>
      </c>
      <c r="B152" s="3" t="str">
        <v>Океания</v>
      </c>
      <c r="C152" s="3" t="str">
        <v>Не удалось достоверно определить</v>
      </c>
      <c r="D152" s="3" t="str">
        <v>Не обнаружен</v>
      </c>
      <c r="E152" s="3" t="str">
        <v>"Solomon Islands" philosophy society association</v>
      </c>
      <c r="F152" s="3" t="str">
        <v>Не обнаружен</v>
      </c>
      <c r="G15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2" s="6" t="n">
        <v>46300</v>
      </c>
      <c r="I152" s="3" t="str">
        <v>Основной охват</v>
      </c>
      <c r="J152" s="8" t="n">
        <v>0</v>
      </c>
    </row>
    <row r="153" ht="48" customHeight="1">
      <c r="A153" s="3" t="str">
        <v>Сомали</v>
      </c>
      <c r="B153" s="3" t="str">
        <v>Восточная Африка</v>
      </c>
      <c r="C153" s="3" t="str">
        <v>Не удалось достоверно определить</v>
      </c>
      <c r="D153" s="3" t="str">
        <v>Не обнаружен</v>
      </c>
      <c r="E153" s="3" t="str">
        <v>"Somalia" "philosophical society" OR "philosophical association"</v>
      </c>
      <c r="F153" s="3" t="str">
        <v>Не обнаружен</v>
      </c>
      <c r="G15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3" s="6" t="n">
        <v>46300</v>
      </c>
      <c r="I153" s="3" t="str">
        <v>Основной охват</v>
      </c>
      <c r="J153" s="8" t="n">
        <v>0</v>
      </c>
    </row>
    <row r="154" ht="48" customHeight="1">
      <c r="A154" s="3" t="str">
        <v>Судан</v>
      </c>
      <c r="B154" s="3" t="str">
        <v>Северная Африка</v>
      </c>
      <c r="C154" s="3" t="str">
        <v>Не удалось достоверно определить</v>
      </c>
      <c r="D154" s="3" t="str">
        <v>Не обнаружен</v>
      </c>
      <c r="E154" s="3" t="str">
        <v>"الجمعية الفلسفية السودانية" OR "Sudanese Philosophical Society"</v>
      </c>
      <c r="F154" s="3" t="str">
        <v>Не обнаружен</v>
      </c>
      <c r="G15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4" s="6" t="n">
        <v>46300</v>
      </c>
      <c r="I154" s="3" t="str">
        <v>Основной охват</v>
      </c>
      <c r="J154" s="8" t="n">
        <v>0</v>
      </c>
    </row>
    <row r="155" ht="48" customHeight="1">
      <c r="A155" s="3" t="str">
        <v>Суринам</v>
      </c>
      <c r="B155" s="3" t="str">
        <v>Южная Америка</v>
      </c>
      <c r="C155" s="3" t="str">
        <v>Не удалось достоверно определить</v>
      </c>
      <c r="D155" s="3" t="str">
        <v>Не обнаружен</v>
      </c>
      <c r="E155" s="3" t="str">
        <v>"Suriname" filosofie vereniging philosophical society</v>
      </c>
      <c r="F155" s="3" t="str">
        <v>Не обнаружен</v>
      </c>
      <c r="G15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5" s="6" t="n">
        <v>46300</v>
      </c>
      <c r="I155" s="3" t="str">
        <v>Основной охват</v>
      </c>
      <c r="J155" s="8" t="n">
        <v>0</v>
      </c>
    </row>
    <row r="156" ht="48" customHeight="1">
      <c r="A156" s="3" t="str">
        <v>США</v>
      </c>
      <c r="B156" s="3" t="str">
        <v>Северная Америка</v>
      </c>
      <c r="C156" s="3" t="str">
        <v>Объединение обнаружено</v>
      </c>
      <c r="D156" s="3" t="str">
        <v>Американская философская ассоциация</v>
      </c>
      <c r="E156" s="3" t="str">
        <v>Проверены реестры FISP / региональных федераций и первичные страницы найденной организации.</v>
      </c>
      <c r="F156" s="7" t="str">
        <v>https://www.apaonline.org/page/mission</v>
      </c>
      <c r="G156" s="3" t="str">
        <v>Основной охват: 193 государства — члены ООН и два государства-наблюдателя.</v>
      </c>
      <c r="H156" s="6" t="n">
        <v>46300</v>
      </c>
      <c r="I156" s="3" t="str">
        <v>Основной охват</v>
      </c>
      <c r="J156" s="8" t="n">
        <v>1</v>
      </c>
    </row>
    <row r="157" ht="48" customHeight="1">
      <c r="A157" s="3" t="str">
        <v>Сьерра-Леоне</v>
      </c>
      <c r="B157" s="3" t="str">
        <v>Западная Африка</v>
      </c>
      <c r="C157" s="3" t="str">
        <v>Не удалось достоверно определить</v>
      </c>
      <c r="D157" s="3" t="str">
        <v>Не обнаружен</v>
      </c>
      <c r="E157" s="3" t="str">
        <v>"Sierra Leone" "philosophical" society association</v>
      </c>
      <c r="F157" s="3" t="str">
        <v>Не обнаружен</v>
      </c>
      <c r="G15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7" s="6" t="n">
        <v>46300</v>
      </c>
      <c r="I157" s="3" t="str">
        <v>Основной охват</v>
      </c>
      <c r="J157" s="8" t="n">
        <v>0</v>
      </c>
    </row>
    <row r="158" ht="48" customHeight="1">
      <c r="A158" s="3" t="str">
        <v>Таджикистан</v>
      </c>
      <c r="B158" s="3" t="str">
        <v>Центральная Азия</v>
      </c>
      <c r="C158" s="3" t="str">
        <v>Не удалось достоверно определить</v>
      </c>
      <c r="D158" s="3" t="str">
        <v>Не обнаружен</v>
      </c>
      <c r="E158" s="3" t="str">
        <v>Таджикистан "Ҷамъияти файласуфон" "фалсафа" ҷамъият
"Таджикское философское общество"</v>
      </c>
      <c r="F158" s="3" t="str">
        <v>Не обнаружен</v>
      </c>
      <c r="G15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58" s="6" t="n">
        <v>46300</v>
      </c>
      <c r="I158" s="3" t="str">
        <v>Основной охват</v>
      </c>
      <c r="J158" s="8" t="n">
        <v>0</v>
      </c>
    </row>
    <row r="159" ht="48" customHeight="1">
      <c r="A159" s="3" t="str">
        <v>Таиланд</v>
      </c>
      <c r="B159" s="3" t="str">
        <v>Юго-Восточная Азия</v>
      </c>
      <c r="C159" s="3" t="str">
        <v>Объединение обнаружено</v>
      </c>
      <c r="D159" s="3" t="str">
        <v>Общество философии и религии Таиланда</v>
      </c>
      <c r="E159" s="3" t="str">
        <v>Проверены реестры FISP / региональных федераций и первичные страницы найденной организации.</v>
      </c>
      <c r="F159" s="7" t="str">
        <v>https://www.fisp.org/members/national-societies</v>
      </c>
      <c r="G159" s="3" t="str">
        <v>Основной охват: 193 государства — члены ООН и два государства-наблюдателя.</v>
      </c>
      <c r="H159" s="6" t="n">
        <v>46300</v>
      </c>
      <c r="I159" s="3" t="str">
        <v>Основной охват</v>
      </c>
      <c r="J159" s="8" t="n">
        <v>1</v>
      </c>
    </row>
    <row r="160" ht="48" customHeight="1">
      <c r="A160" s="3" t="str">
        <v>Тайвань</v>
      </c>
      <c r="B160" s="3" t="str">
        <v>Восточная Азия</v>
      </c>
      <c r="C160" s="3" t="str">
        <v>Объединение обнаружено</v>
      </c>
      <c r="D160" s="3" t="str">
        <v>Китайское философское общество (Тайвань)
Тайваньская философская ассоциация</v>
      </c>
      <c r="E160" s="3" t="str">
        <v>Проверены FISP и первичные национальные источники.
台灣哲學學會 理事長 2026
中國哲學會 臺灣 理事長</v>
      </c>
      <c r="F160" s="7" t="str">
        <v>https://tpatw.org/conference/3440/</v>
      </c>
      <c r="G160" s="3" t="str">
        <v>Дополнительная юрисдикция; не входит в основной счет 195 государств.</v>
      </c>
      <c r="H160" s="6" t="n">
        <v>46300</v>
      </c>
      <c r="I160" s="3" t="str">
        <v>Дополнительный охват</v>
      </c>
      <c r="J160" s="8" t="n">
        <v>2</v>
      </c>
    </row>
    <row r="161" ht="48" customHeight="1">
      <c r="A161" s="3" t="str">
        <v>Танзания</v>
      </c>
      <c r="B161" s="3" t="str">
        <v>Восточная Африка</v>
      </c>
      <c r="C161" s="3" t="str">
        <v>Не удалось достоверно определить</v>
      </c>
      <c r="D161" s="3" t="str">
        <v>Не обнаружен</v>
      </c>
      <c r="E161" s="3" t="str">
        <v>"Tanzania" "philosophical association" OR "philosophical society"</v>
      </c>
      <c r="F161" s="3" t="str">
        <v>Не обнаружен</v>
      </c>
      <c r="G16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1" s="6" t="n">
        <v>46300</v>
      </c>
      <c r="I161" s="3" t="str">
        <v>Основной охват</v>
      </c>
      <c r="J161" s="8" t="n">
        <v>0</v>
      </c>
    </row>
    <row r="162" ht="48" customHeight="1">
      <c r="A162" s="3" t="str">
        <v>Тимор-Лешти</v>
      </c>
      <c r="B162" s="3" t="str">
        <v>Юго-Восточная Азия</v>
      </c>
      <c r="C162" s="3" t="str">
        <v>Не удалось достоверно определить</v>
      </c>
      <c r="D162" s="3" t="str">
        <v>Не обнаружен</v>
      </c>
      <c r="E162" s="3" t="str">
        <v>"Timor-Leste" filosofia associação sociedade</v>
      </c>
      <c r="F162" s="3" t="str">
        <v>Не обнаружен</v>
      </c>
      <c r="G16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2" s="6" t="n">
        <v>46300</v>
      </c>
      <c r="I162" s="3" t="str">
        <v>Основной охват</v>
      </c>
      <c r="J162" s="8" t="n">
        <v>0</v>
      </c>
    </row>
    <row r="163" ht="48" customHeight="1">
      <c r="A163" s="3" t="str">
        <v>Того</v>
      </c>
      <c r="B163" s="3" t="str">
        <v>Западная Африка</v>
      </c>
      <c r="C163" s="3" t="str">
        <v>Объединение обнаружено</v>
      </c>
      <c r="D163" s="3" t="str">
        <v>Тоголезское философское общество</v>
      </c>
      <c r="E163" s="3" t="str">
        <v>"Togo" "société" "philosophie" association
"Société togolaise de philosophie" université</v>
      </c>
      <c r="F163" s="7" t="str">
        <v>https://jo.gouv.tg/sites/default/files/annee/2013/jo%202013-29ter%20suppl.pdf</v>
      </c>
      <c r="G163" s="3" t="str">
        <v>Основной охват: 193 государства — члены ООН и два государства-наблюдателя.</v>
      </c>
      <c r="H163" s="6" t="n">
        <v>46300</v>
      </c>
      <c r="I163" s="3" t="str">
        <v>Основной охват</v>
      </c>
      <c r="J163" s="8" t="n">
        <v>1</v>
      </c>
    </row>
    <row r="164" ht="48" customHeight="1">
      <c r="A164" s="3" t="str">
        <v>Тонга</v>
      </c>
      <c r="B164" s="3" t="str">
        <v>Океания</v>
      </c>
      <c r="C164" s="3" t="str">
        <v>Не удалось достоверно определить</v>
      </c>
      <c r="D164" s="3" t="str">
        <v>Не обнаружен</v>
      </c>
      <c r="E164" s="3" t="str">
        <v>"Tonga" philosophical society association</v>
      </c>
      <c r="F164" s="3" t="str">
        <v>Не обнаружен</v>
      </c>
      <c r="G16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4" s="6" t="n">
        <v>46300</v>
      </c>
      <c r="I164" s="3" t="str">
        <v>Основной охват</v>
      </c>
      <c r="J164" s="8" t="n">
        <v>0</v>
      </c>
    </row>
    <row r="165" ht="48" customHeight="1">
      <c r="A165" s="3" t="str">
        <v>Тринидад и Тобаго</v>
      </c>
      <c r="B165" s="3" t="str">
        <v>Карибский бассейн</v>
      </c>
      <c r="C165" s="3" t="str">
        <v>Не удалось достоверно определить</v>
      </c>
      <c r="D165" s="3" t="str">
        <v>Не обнаружен</v>
      </c>
      <c r="E165" s="3" t="str">
        <v>"Trinidad" "philosophical society" OR "philosophical association"</v>
      </c>
      <c r="F165" s="3" t="str">
        <v>Не обнаружен</v>
      </c>
      <c r="G16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5" s="6" t="n">
        <v>46300</v>
      </c>
      <c r="I165" s="3" t="str">
        <v>Основной охват</v>
      </c>
      <c r="J165" s="8" t="n">
        <v>0</v>
      </c>
    </row>
    <row r="166" ht="48" customHeight="1">
      <c r="A166" s="3" t="str">
        <v>Тувалу</v>
      </c>
      <c r="B166" s="3" t="str">
        <v>Океания</v>
      </c>
      <c r="C166" s="3" t="str">
        <v>Не удалось достоверно определить</v>
      </c>
      <c r="D166" s="3" t="str">
        <v>Не обнаружен</v>
      </c>
      <c r="E166" s="3" t="str">
        <v>"Tuvalu" philosophy society association</v>
      </c>
      <c r="F166" s="3" t="str">
        <v>Не обнаружен</v>
      </c>
      <c r="G16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6" s="6" t="n">
        <v>46300</v>
      </c>
      <c r="I166" s="3" t="str">
        <v>Основной охват</v>
      </c>
      <c r="J166" s="8" t="n">
        <v>0</v>
      </c>
    </row>
    <row r="167" ht="48" customHeight="1">
      <c r="A167" s="3" t="str">
        <v>Тунис</v>
      </c>
      <c r="B167" s="3" t="str">
        <v>Северная Африка</v>
      </c>
      <c r="C167" s="3" t="str">
        <v>Объединение обнаружено</v>
      </c>
      <c r="D167" s="3" t="str">
        <v>Тунисская ассоциация философских исследований</v>
      </c>
      <c r="E167" s="3" t="str">
        <v>Проверены реестры FISP / региональных федераций и первичные страницы найденной организации.</v>
      </c>
      <c r="F167" s="7" t="str">
        <v>https://asplf.org/liste-des-societes/</v>
      </c>
      <c r="G167" s="3" t="str">
        <v>Основной охват: 193 государства — члены ООН и два государства-наблюдателя.</v>
      </c>
      <c r="H167" s="6" t="n">
        <v>46300</v>
      </c>
      <c r="I167" s="3" t="str">
        <v>Основной охват</v>
      </c>
      <c r="J167" s="8" t="n">
        <v>1</v>
      </c>
    </row>
    <row r="168" ht="48" customHeight="1">
      <c r="A168" s="3" t="str">
        <v>Туркменистан</v>
      </c>
      <c r="B168" s="3" t="str">
        <v>Центральная Азия</v>
      </c>
      <c r="C168" s="3" t="str">
        <v>Не удалось достоверно определить</v>
      </c>
      <c r="D168" s="3" t="str">
        <v>Не обнаружен</v>
      </c>
      <c r="E168" s="3" t="str">
        <v>Turkmenistan philosophical society association Türkmen filosofiýa jemgyýet</v>
      </c>
      <c r="F168" s="3" t="str">
        <v>Не обнаружен</v>
      </c>
      <c r="G168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68" s="6" t="n">
        <v>46300</v>
      </c>
      <c r="I168" s="3" t="str">
        <v>Основной охват</v>
      </c>
      <c r="J168" s="8" t="n">
        <v>0</v>
      </c>
    </row>
    <row r="169" ht="48" customHeight="1">
      <c r="A169" s="3" t="str">
        <v>Турция</v>
      </c>
      <c r="B169" s="3" t="str">
        <v>Ближний Восток</v>
      </c>
      <c r="C169" s="3" t="str">
        <v>Объединение обнаружено</v>
      </c>
      <c r="D169" s="3" t="str">
        <v>Философское общество Турции</v>
      </c>
      <c r="E169" s="3" t="str">
        <v>Проверены реестры FISP / региональных федераций и первичные страницы найденной организации.</v>
      </c>
      <c r="F169" s="7" t="str">
        <v>https://www.tfk.org.tr/</v>
      </c>
      <c r="G169" s="3" t="str">
        <v>Основной охват: 193 государства — члены ООН и два государства-наблюдателя.</v>
      </c>
      <c r="H169" s="6" t="n">
        <v>46300</v>
      </c>
      <c r="I169" s="3" t="str">
        <v>Основной охват</v>
      </c>
      <c r="J169" s="8" t="n">
        <v>1</v>
      </c>
    </row>
    <row r="170" ht="48" customHeight="1">
      <c r="A170" s="3" t="str">
        <v>Уганда</v>
      </c>
      <c r="B170" s="3" t="str">
        <v>Восточная Африка</v>
      </c>
      <c r="C170" s="3" t="str">
        <v>Не удалось достоверно определить</v>
      </c>
      <c r="D170" s="3" t="str">
        <v>Не обнаружен</v>
      </c>
      <c r="E170" s="3" t="str">
        <v>"Uganda Philosophy Society" OR "Ugandan Philosophical Association"</v>
      </c>
      <c r="F170" s="3" t="str">
        <v>Не обнаружен</v>
      </c>
      <c r="G17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70" s="6" t="n">
        <v>46300</v>
      </c>
      <c r="I170" s="3" t="str">
        <v>Основной охват</v>
      </c>
      <c r="J170" s="8" t="n">
        <v>0</v>
      </c>
    </row>
    <row r="171" ht="48" customHeight="1">
      <c r="A171" s="3" t="str">
        <v>Узбекистан</v>
      </c>
      <c r="B171" s="3" t="str">
        <v>Центральная Азия</v>
      </c>
      <c r="C171" s="3" t="str">
        <v>Объединение обнаружено</v>
      </c>
      <c r="D171" s="3" t="str">
        <v>Философское общество Узбекистана</v>
      </c>
      <c r="E171" s="3" t="str">
        <v>Проверены реестры FISP / региональных федераций и первичные страницы найденной организации.</v>
      </c>
      <c r="F171" s="7" t="str">
        <v>https://www.fisp.org/members/national-societies</v>
      </c>
      <c r="G171" s="3" t="str">
        <v>Основной охват: 193 государства — члены ООН и два государства-наблюдателя.</v>
      </c>
      <c r="H171" s="6" t="n">
        <v>46300</v>
      </c>
      <c r="I171" s="3" t="str">
        <v>Основной охват</v>
      </c>
      <c r="J171" s="8" t="n">
        <v>1</v>
      </c>
    </row>
    <row r="172" ht="48" customHeight="1">
      <c r="A172" s="3" t="str">
        <v>Украина</v>
      </c>
      <c r="B172" s="3" t="str">
        <v>Восточная Европа</v>
      </c>
      <c r="C172" s="3" t="str">
        <v>Объединение обнаружено</v>
      </c>
      <c r="D172" s="3" t="str">
        <v>Украинский философский фонд</v>
      </c>
      <c r="E172" s="3" t="str">
        <v>Проверены реестры FISP / региональных федераций и первичные страницы найденной организации.</v>
      </c>
      <c r="F172" s="7" t="str">
        <v>https://www.fisp.org/members/national-societies</v>
      </c>
      <c r="G172" s="3" t="str">
        <v>Основной охват: 193 государства — члены ООН и два государства-наблюдателя.</v>
      </c>
      <c r="H172" s="6" t="n">
        <v>46300</v>
      </c>
      <c r="I172" s="3" t="str">
        <v>Основной охват</v>
      </c>
      <c r="J172" s="8" t="n">
        <v>1</v>
      </c>
    </row>
    <row r="173" ht="48" customHeight="1">
      <c r="A173" s="3" t="str">
        <v>Уругвай</v>
      </c>
      <c r="B173" s="3" t="str">
        <v>Южная Америка</v>
      </c>
      <c r="C173" s="3" t="str">
        <v>Объединение обнаружено</v>
      </c>
      <c r="D173" s="3" t="str">
        <v>Философское общество Уругвая</v>
      </c>
      <c r="E173" s="3" t="str">
        <v>Проверены реестры FISP / региональных федераций и первичные страницы найденной организации.</v>
      </c>
      <c r="F173" s="7" t="str">
        <v>https://sfu.org.uy/estatutos/</v>
      </c>
      <c r="G173" s="3" t="str">
        <v>Основной охват: 193 государства — члены ООН и два государства-наблюдателя.</v>
      </c>
      <c r="H173" s="6" t="n">
        <v>46300</v>
      </c>
      <c r="I173" s="3" t="str">
        <v>Основной охват</v>
      </c>
      <c r="J173" s="8" t="n">
        <v>1</v>
      </c>
    </row>
    <row r="174" ht="48" customHeight="1">
      <c r="A174" s="3" t="str">
        <v>Федеративные Штаты Микронезии</v>
      </c>
      <c r="B174" s="3" t="str">
        <v>Океания</v>
      </c>
      <c r="C174" s="3" t="str">
        <v>Не удалось достоверно определить</v>
      </c>
      <c r="D174" s="3" t="str">
        <v>Не обнаружен</v>
      </c>
      <c r="E174" s="3" t="str">
        <v>"Micronesia" philosophical society philosophy association</v>
      </c>
      <c r="F174" s="3" t="str">
        <v>Не обнаружен</v>
      </c>
      <c r="G174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74" s="6" t="n">
        <v>46300</v>
      </c>
      <c r="I174" s="3" t="str">
        <v>Основной охват</v>
      </c>
      <c r="J174" s="8" t="n">
        <v>0</v>
      </c>
    </row>
    <row r="175" ht="48" customHeight="1">
      <c r="A175" s="3" t="str">
        <v>Фиджи</v>
      </c>
      <c r="B175" s="3" t="str">
        <v>Океания</v>
      </c>
      <c r="C175" s="3" t="str">
        <v>Не удалось достоверно определить</v>
      </c>
      <c r="D175" s="3" t="str">
        <v>Не обнаружен</v>
      </c>
      <c r="E175" s="3" t="str">
        <v>"Fiji" "philosophical society" OR "philosophical association"</v>
      </c>
      <c r="F175" s="3" t="str">
        <v>Не обнаружен</v>
      </c>
      <c r="G175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75" s="6" t="n">
        <v>46300</v>
      </c>
      <c r="I175" s="3" t="str">
        <v>Основной охват</v>
      </c>
      <c r="J175" s="8" t="n">
        <v>0</v>
      </c>
    </row>
    <row r="176" ht="48" customHeight="1">
      <c r="A176" s="3" t="str">
        <v>Филиппины</v>
      </c>
      <c r="B176" s="3" t="str">
        <v>Юго-Восточная Азия</v>
      </c>
      <c r="C176" s="3" t="str">
        <v>Объединение обнаружено</v>
      </c>
      <c r="D176" s="3" t="str">
        <v>Союз философских обществ и ассоциаций Филиппин
Филиппинская академия философских исследований
Философская ассоциация Филиппин</v>
      </c>
      <c r="E176" s="3" t="str">
        <v>Проверены реестры FISP / региональных федераций и первичные страницы найденной организации.
"Union of Societies and Associations of Philosophy"</v>
      </c>
      <c r="F176" s="7" t="str">
        <v>https://bisu.edu.ph/2025/06/17/philosophizing-the-filipino-soul-usapp-summit-champions-identity-ethics-and-cultural-reflection/</v>
      </c>
      <c r="G176" s="3" t="str">
        <v>Основной охват: 193 государства — члены ООН и два государства-наблюдателя.</v>
      </c>
      <c r="H176" s="6" t="n">
        <v>46300</v>
      </c>
      <c r="I176" s="3" t="str">
        <v>Основной охват</v>
      </c>
      <c r="J176" s="8" t="n">
        <v>3</v>
      </c>
    </row>
    <row r="177" ht="48" customHeight="1">
      <c r="A177" s="3" t="str">
        <v>Финляндия</v>
      </c>
      <c r="B177" s="3" t="str">
        <v>Северная Европа</v>
      </c>
      <c r="C177" s="3" t="str">
        <v>Объединение обнаружено</v>
      </c>
      <c r="D177" s="3" t="str">
        <v>Философское общество Финляндии</v>
      </c>
      <c r="E177" s="3" t="str">
        <v>Проверены реестры FISP / региональных федераций и первичные страницы найденной организации.</v>
      </c>
      <c r="F177" s="7" t="str">
        <v>https://www.filosofinenyhdistys.fi/yhdistys/saannot/</v>
      </c>
      <c r="G177" s="3" t="str">
        <v>Основной охват: 193 государства — члены ООН и два государства-наблюдателя.</v>
      </c>
      <c r="H177" s="6" t="n">
        <v>46300</v>
      </c>
      <c r="I177" s="3" t="str">
        <v>Основной охват</v>
      </c>
      <c r="J177" s="8" t="n">
        <v>1</v>
      </c>
    </row>
    <row r="178" ht="48" customHeight="1">
      <c r="A178" s="3" t="str">
        <v>Франция</v>
      </c>
      <c r="B178" s="3" t="str">
        <v>Западная Европа</v>
      </c>
      <c r="C178" s="3" t="str">
        <v>Объединение обнаружено</v>
      </c>
      <c r="D178" s="3" t="str">
        <v>Французское философское общество</v>
      </c>
      <c r="E178" s="3" t="str">
        <v>Проверены реестры FISP / региональных федераций и первичные страницы найденной организации.</v>
      </c>
      <c r="F178" s="7" t="str">
        <v>https://www.sofrphilo.fr/</v>
      </c>
      <c r="G178" s="3" t="str">
        <v>Основной охват: 193 государства — члены ООН и два государства-наблюдателя.</v>
      </c>
      <c r="H178" s="6" t="n">
        <v>46300</v>
      </c>
      <c r="I178" s="3" t="str">
        <v>Основной охват</v>
      </c>
      <c r="J178" s="8" t="n">
        <v>1</v>
      </c>
    </row>
    <row r="179" ht="48" customHeight="1">
      <c r="A179" s="3" t="str">
        <v>Хорватия</v>
      </c>
      <c r="B179" s="3" t="str">
        <v>Южная Европа</v>
      </c>
      <c r="C179" s="3" t="str">
        <v>Объединение обнаружено</v>
      </c>
      <c r="D179" s="3" t="str">
        <v>Хорватское философское общество</v>
      </c>
      <c r="E179" s="3" t="str">
        <v>Проверены реестры FISP / региональных федераций и первичные страницы найденной организации.</v>
      </c>
      <c r="F179" s="7" t="str">
        <v>https://www.hrfd.hr/o-hfd-u/statut-hfd-a/</v>
      </c>
      <c r="G179" s="3" t="str">
        <v>Основной охват: 193 государства — члены ООН и два государства-наблюдателя.</v>
      </c>
      <c r="H179" s="6" t="n">
        <v>46300</v>
      </c>
      <c r="I179" s="3" t="str">
        <v>Основной охват</v>
      </c>
      <c r="J179" s="8" t="n">
        <v>1</v>
      </c>
    </row>
    <row r="180" ht="48" customHeight="1">
      <c r="A180" s="3" t="str">
        <v>Центральноафриканская Республика</v>
      </c>
      <c r="B180" s="3" t="str">
        <v>Центральная Африка</v>
      </c>
      <c r="C180" s="3" t="str">
        <v>Не удалось достоверно определить</v>
      </c>
      <c r="D180" s="3" t="str">
        <v>Не обнаружен</v>
      </c>
      <c r="E180" s="3" t="str">
        <v>"Centrafrique" association philosophes philosophie</v>
      </c>
      <c r="F180" s="3" t="str">
        <v>Не обнаружен</v>
      </c>
      <c r="G18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80" s="6" t="n">
        <v>46300</v>
      </c>
      <c r="I180" s="3" t="str">
        <v>Основной охват</v>
      </c>
      <c r="J180" s="8" t="n">
        <v>0</v>
      </c>
    </row>
    <row r="181" ht="48" customHeight="1">
      <c r="A181" s="3" t="str">
        <v>Чад</v>
      </c>
      <c r="B181" s="3" t="str">
        <v>Центральная Африка</v>
      </c>
      <c r="C181" s="3" t="str">
        <v>Не удалось достоверно определить</v>
      </c>
      <c r="D181" s="3" t="str">
        <v>Не обнаружен</v>
      </c>
      <c r="E181" s="3" t="str">
        <v>"Tchad" "association" "philosophie"</v>
      </c>
      <c r="F181" s="3" t="str">
        <v>Не обнаружен</v>
      </c>
      <c r="G18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81" s="6" t="n">
        <v>46300</v>
      </c>
      <c r="I181" s="3" t="str">
        <v>Основной охват</v>
      </c>
      <c r="J181" s="8" t="n">
        <v>0</v>
      </c>
    </row>
    <row r="182" ht="48" customHeight="1">
      <c r="A182" s="3" t="str">
        <v>Черногория</v>
      </c>
      <c r="B182" s="3" t="str">
        <v>Южная Европа</v>
      </c>
      <c r="C182" s="3" t="str">
        <v>Объединение обнаружено</v>
      </c>
      <c r="D182" s="3" t="str">
        <v>Черногорская ассоциация преподавателей философии</v>
      </c>
      <c r="E182" s="3" t="str">
        <v>Проверены реестры FISP / региональных федераций и первичные страницы найденной организации.</v>
      </c>
      <c r="F182" s="7" t="str">
        <v>https://www.fisp.org/members/national-societies</v>
      </c>
      <c r="G182" s="3" t="str">
        <v>Основной охват: 193 государства — члены ООН и два государства-наблюдателя.</v>
      </c>
      <c r="H182" s="6" t="n">
        <v>46300</v>
      </c>
      <c r="I182" s="3" t="str">
        <v>Основной охват</v>
      </c>
      <c r="J182" s="8" t="n">
        <v>1</v>
      </c>
    </row>
    <row r="183" ht="48" customHeight="1">
      <c r="A183" s="3" t="str">
        <v>Чехия</v>
      </c>
      <c r="B183" s="3" t="str">
        <v>Восточная Европа</v>
      </c>
      <c r="C183" s="3" t="str">
        <v>Объединение обнаружено</v>
      </c>
      <c r="D183" s="3" t="str">
        <v>Философское объединение Чехии</v>
      </c>
      <c r="E183" s="3" t="str">
        <v>"Jednota filozofická" současnost 2026</v>
      </c>
      <c r="F183" s="7" t="str">
        <v>https://stag.upol.cz/ects/fakulty/FIF/KFI/BJ20L?lang=cs</v>
      </c>
      <c r="G183" s="3" t="str">
        <v>Основной охват: 193 государства — члены ООН и два государства-наблюдателя.</v>
      </c>
      <c r="H183" s="6" t="n">
        <v>46300</v>
      </c>
      <c r="I183" s="3" t="str">
        <v>Основной охват</v>
      </c>
      <c r="J183" s="8" t="n">
        <v>1</v>
      </c>
    </row>
    <row r="184" ht="48" customHeight="1">
      <c r="A184" s="3" t="str">
        <v>Чили</v>
      </c>
      <c r="B184" s="3" t="str">
        <v>Южная Америка</v>
      </c>
      <c r="C184" s="3" t="str">
        <v>Объединение обнаружено</v>
      </c>
      <c r="D184" s="3" t="str">
        <v>Чилийская философская ассоциация</v>
      </c>
      <c r="E184" s="3" t="str">
        <v>Проверены реестры FISP / региональных федераций и первичные страницы найденной организации.</v>
      </c>
      <c r="F184" s="7" t="str">
        <v>https://www.achif.cl/estatutos/</v>
      </c>
      <c r="G184" s="3" t="str">
        <v>Основной охват: 193 государства — члены ООН и два государства-наблюдателя.</v>
      </c>
      <c r="H184" s="6" t="n">
        <v>46300</v>
      </c>
      <c r="I184" s="3" t="str">
        <v>Основной охват</v>
      </c>
      <c r="J184" s="8" t="n">
        <v>1</v>
      </c>
    </row>
    <row r="185" ht="48" customHeight="1">
      <c r="A185" s="3" t="str">
        <v>Швейцария</v>
      </c>
      <c r="B185" s="3" t="str">
        <v>Западная Европа</v>
      </c>
      <c r="C185" s="3" t="str">
        <v>Объединение обнаружено</v>
      </c>
      <c r="D185" s="3" t="str">
        <v>Швейцарское философское общество</v>
      </c>
      <c r="E185" s="3" t="str">
        <v>Проверены реестры FISP / региональных федераций и первичные страницы найденной организации.</v>
      </c>
      <c r="F185" s="7" t="str">
        <v>https://www.sagw.ch/de/spg/die-statuten</v>
      </c>
      <c r="G185" s="3" t="str">
        <v>Основной охват: 193 государства — члены ООН и два государства-наблюдателя.</v>
      </c>
      <c r="H185" s="6" t="n">
        <v>46300</v>
      </c>
      <c r="I185" s="3" t="str">
        <v>Основной охват</v>
      </c>
      <c r="J185" s="8" t="n">
        <v>1</v>
      </c>
    </row>
    <row r="186" ht="48" customHeight="1">
      <c r="A186" s="3" t="str">
        <v>Швеция</v>
      </c>
      <c r="B186" s="3" t="str">
        <v>Северная Европа</v>
      </c>
      <c r="C186" s="3" t="str">
        <v>Объединение обнаружено</v>
      </c>
      <c r="D186" s="3" t="str">
        <v>Шведское философское общество</v>
      </c>
      <c r="E186" s="3" t="str">
        <v>Проверены реестры FISP / региональных федераций и первичные страницы найденной организации.</v>
      </c>
      <c r="F186" s="7" t="str">
        <v>https://www.umu.se/en/department-of-historical-philosophical-and-religious-studies/research/our-research-subjects/philosophy/swedish-congress-of-philosophy/</v>
      </c>
      <c r="G186" s="3" t="str">
        <v>Основной охват: 193 государства — члены ООН и два государства-наблюдателя.</v>
      </c>
      <c r="H186" s="6" t="n">
        <v>46300</v>
      </c>
      <c r="I186" s="3" t="str">
        <v>Основной охват</v>
      </c>
      <c r="J186" s="8" t="n">
        <v>1</v>
      </c>
    </row>
    <row r="187" ht="48" customHeight="1">
      <c r="A187" s="3" t="str">
        <v>Шри-Ланка</v>
      </c>
      <c r="B187" s="3" t="str">
        <v>Южная Азия</v>
      </c>
      <c r="C187" s="3" t="str">
        <v>Не удалось достоверно определить</v>
      </c>
      <c r="D187" s="3" t="str">
        <v>Не обнаружен</v>
      </c>
      <c r="E187" s="3" t="str">
        <v>Sri Lanka Philosophical Association philosophy society 2026</v>
      </c>
      <c r="F187" s="3" t="str">
        <v>Не обнаружен</v>
      </c>
      <c r="G18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87" s="6" t="n">
        <v>46300</v>
      </c>
      <c r="I187" s="3" t="str">
        <v>Основной охват</v>
      </c>
      <c r="J187" s="8" t="n">
        <v>0</v>
      </c>
    </row>
    <row r="188" ht="48" customHeight="1">
      <c r="A188" s="3" t="str">
        <v>Эквадор</v>
      </c>
      <c r="B188" s="3" t="str">
        <v>Южная Америка</v>
      </c>
      <c r="C188" s="3" t="str">
        <v>Объединение обнаружено</v>
      </c>
      <c r="D188" s="3" t="str">
        <v>Эквадорская философская сеть</v>
      </c>
      <c r="E188" s="3" t="str">
        <v>"sociedad ecuatoriana de filosofía"</v>
      </c>
      <c r="F188" s="7" t="str">
        <v>https://recfil.org/manifiesto/</v>
      </c>
      <c r="G188" s="3" t="str">
        <v>Основной охват: 193 государства — члены ООН и два государства-наблюдателя.</v>
      </c>
      <c r="H188" s="6" t="n">
        <v>46300</v>
      </c>
      <c r="I188" s="3" t="str">
        <v>Основной охват</v>
      </c>
      <c r="J188" s="8" t="n">
        <v>1</v>
      </c>
    </row>
    <row r="189" ht="48" customHeight="1">
      <c r="A189" s="3" t="str">
        <v>Экваториальная Гвинея</v>
      </c>
      <c r="B189" s="3" t="str">
        <v>Центральная Африка</v>
      </c>
      <c r="C189" s="3" t="str">
        <v>Не удалось достоверно определить</v>
      </c>
      <c r="D189" s="3" t="str">
        <v>Не обнаружен</v>
      </c>
      <c r="E189" s="3" t="str">
        <v>"Guinea Ecuatorial" asociación filosofía sociedad</v>
      </c>
      <c r="F189" s="3" t="str">
        <v>Не обнаружен</v>
      </c>
      <c r="G189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89" s="6" t="n">
        <v>46300</v>
      </c>
      <c r="I189" s="3" t="str">
        <v>Основной охват</v>
      </c>
      <c r="J189" s="8" t="n">
        <v>0</v>
      </c>
    </row>
    <row r="190" ht="48" customHeight="1">
      <c r="A190" s="3" t="str">
        <v>Эритрея</v>
      </c>
      <c r="B190" s="3" t="str">
        <v>Восточная Африка</v>
      </c>
      <c r="C190" s="3" t="str">
        <v>Не удалось достоверно определить</v>
      </c>
      <c r="D190" s="3" t="str">
        <v>Не обнаружен</v>
      </c>
      <c r="E190" s="3" t="str">
        <v>"Eritrea" philosophy association society</v>
      </c>
      <c r="F190" s="3" t="str">
        <v>Не обнаружен</v>
      </c>
      <c r="G190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0" s="6" t="n">
        <v>46300</v>
      </c>
      <c r="I190" s="3" t="str">
        <v>Основной охват</v>
      </c>
      <c r="J190" s="8" t="n">
        <v>0</v>
      </c>
    </row>
    <row r="191" ht="48" customHeight="1">
      <c r="A191" s="3" t="str">
        <v>Эсватини</v>
      </c>
      <c r="B191" s="3" t="str">
        <v>Южная Африка</v>
      </c>
      <c r="C191" s="3" t="str">
        <v>Не удалось достоверно определить</v>
      </c>
      <c r="D191" s="3" t="str">
        <v>Не обнаружен</v>
      </c>
      <c r="E191" s="3" t="str">
        <v>Eswatini Swaziland philosophical society association</v>
      </c>
      <c r="F191" s="3" t="str">
        <v>Не обнаружен</v>
      </c>
      <c r="G191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1" s="6" t="n">
        <v>46300</v>
      </c>
      <c r="I191" s="3" t="str">
        <v>Основной охват</v>
      </c>
      <c r="J191" s="8" t="n">
        <v>0</v>
      </c>
    </row>
    <row r="192" ht="48" customHeight="1">
      <c r="A192" s="3" t="str">
        <v>Эстония</v>
      </c>
      <c r="B192" s="3" t="str">
        <v>Северная Европа</v>
      </c>
      <c r="C192" s="3" t="str">
        <v>Не удалось достоверно определить</v>
      </c>
      <c r="D192" s="3" t="str">
        <v>Не обнаружен</v>
      </c>
      <c r="E192" s="3" t="str">
        <v>Eesti filosoofia selts juhatus
Eesti filosoofide ühendus selts</v>
      </c>
      <c r="F192" s="3" t="str">
        <v>Не обнаружен</v>
      </c>
      <c r="G192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2" s="6" t="n">
        <v>46300</v>
      </c>
      <c r="I192" s="3" t="str">
        <v>Основной охват</v>
      </c>
      <c r="J192" s="8" t="n">
        <v>0</v>
      </c>
    </row>
    <row r="193" ht="48" customHeight="1">
      <c r="A193" s="3" t="str">
        <v>Эфиопия</v>
      </c>
      <c r="B193" s="3" t="str">
        <v>Восточная Африка</v>
      </c>
      <c r="C193" s="3" t="str">
        <v>Не удалось достоверно определить</v>
      </c>
      <c r="D193" s="3" t="str">
        <v>Не обнаружен</v>
      </c>
      <c r="E193" s="3" t="str">
        <v>"Ethiopian Philosophical Association"
"Ethiopian Philosophical Association" -site:researchgate.net -site:linkedin.com
"Ethiopian Philosophy Association"</v>
      </c>
      <c r="F193" s="3" t="str">
        <v>Не обнаружен</v>
      </c>
      <c r="G193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3" s="6" t="n">
        <v>46300</v>
      </c>
      <c r="I193" s="3" t="str">
        <v>Основной охват</v>
      </c>
      <c r="J193" s="8" t="n">
        <v>0</v>
      </c>
    </row>
    <row r="194" ht="48" customHeight="1">
      <c r="A194" s="3" t="str">
        <v>ЮАР</v>
      </c>
      <c r="B194" s="3" t="str">
        <v>Южная Африка</v>
      </c>
      <c r="C194" s="3" t="str">
        <v>Объединение обнаружено</v>
      </c>
      <c r="D194" s="3" t="str">
        <v>Философское общество Южной Африки</v>
      </c>
      <c r="E194" s="3" t="str">
        <v>Проверены реестры FISP / региональных федераций и первичные страницы найденной организации.</v>
      </c>
      <c r="F194" s="7" t="str">
        <v>https://www.fisp.org/members/national-societies</v>
      </c>
      <c r="G194" s="3" t="str">
        <v>Основной охват: 193 государства — члены ООН и два государства-наблюдателя.</v>
      </c>
      <c r="H194" s="6" t="n">
        <v>46300</v>
      </c>
      <c r="I194" s="3" t="str">
        <v>Основной охват</v>
      </c>
      <c r="J194" s="8" t="n">
        <v>1</v>
      </c>
    </row>
    <row r="195" ht="48" customHeight="1">
      <c r="A195" s="3" t="str">
        <v>Южная Корея</v>
      </c>
      <c r="B195" s="3" t="str">
        <v>Восточная Азия</v>
      </c>
      <c r="C195" s="3" t="str">
        <v>Объединение обнаружено</v>
      </c>
      <c r="D195" s="3" t="str">
        <v>Корейская философская ассоциация</v>
      </c>
      <c r="E195" s="3" t="str">
        <v>Проверены реестры FISP / региональных федераций и первичные страницы найденной организации.</v>
      </c>
      <c r="F195" s="7" t="str">
        <v>https://hanchul.org/</v>
      </c>
      <c r="G195" s="3" t="str">
        <v>Основной охват: 193 государства — члены ООН и два государства-наблюдателя.</v>
      </c>
      <c r="H195" s="6" t="n">
        <v>46300</v>
      </c>
      <c r="I195" s="3" t="str">
        <v>Основной охват</v>
      </c>
      <c r="J195" s="8" t="n">
        <v>1</v>
      </c>
    </row>
    <row r="196" ht="48" customHeight="1">
      <c r="A196" s="3" t="str">
        <v>Южный Судан</v>
      </c>
      <c r="B196" s="3" t="str">
        <v>Восточная Африка</v>
      </c>
      <c r="C196" s="3" t="str">
        <v>Не удалось достоверно определить</v>
      </c>
      <c r="D196" s="3" t="str">
        <v>Не обнаружен</v>
      </c>
      <c r="E196" s="3" t="str">
        <v>"South Sudan" philosophical society association</v>
      </c>
      <c r="F196" s="3" t="str">
        <v>Не обнаружен</v>
      </c>
      <c r="G196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6" s="6" t="n">
        <v>46300</v>
      </c>
      <c r="I196" s="3" t="str">
        <v>Основной охват</v>
      </c>
      <c r="J196" s="8" t="n">
        <v>0</v>
      </c>
    </row>
    <row r="197" ht="48" customHeight="1">
      <c r="A197" s="3" t="str">
        <v>Ямайка</v>
      </c>
      <c r="B197" s="3" t="str">
        <v>Карибский бассейн</v>
      </c>
      <c r="C197" s="3" t="str">
        <v>Не удалось достоверно определить</v>
      </c>
      <c r="D197" s="3" t="str">
        <v>Не обнаружен</v>
      </c>
      <c r="E197" s="3" t="str">
        <v>"Jamaica" "philosophical society" OR "philosophical association"</v>
      </c>
      <c r="F197" s="3" t="str">
        <v>Не обнаружен</v>
      </c>
      <c r="G197" s="3" t="str">
        <v>Основной охват: 193 государства — члены ООН и два государства-наблюдателя. Национальное профессиональное объединение не удалось достоверно определить; это не доказательство его отсутствия.</v>
      </c>
      <c r="H197" s="6" t="n">
        <v>46300</v>
      </c>
      <c r="I197" s="3" t="str">
        <v>Основной охват</v>
      </c>
      <c r="J197" s="8" t="n">
        <v>0</v>
      </c>
    </row>
    <row r="198" ht="48" customHeight="1">
      <c r="A198" s="3" t="str">
        <v>Япония</v>
      </c>
      <c r="B198" s="3" t="str">
        <v>Восточная Азия</v>
      </c>
      <c r="C198" s="3" t="str">
        <v>Объединение обнаружено</v>
      </c>
      <c r="D198" s="3" t="str">
        <v>Философская ассоциация Японии
Японская федерация философских обществ</v>
      </c>
      <c r="E198" s="3" t="str">
        <v>Проверены реестры FISP / региональных федераций и первичные страницы найденной организации.</v>
      </c>
      <c r="F198" s="7" t="str">
        <v>https://philosophy-japan.org/category/summary/</v>
      </c>
      <c r="G198" s="3" t="str">
        <v>Основной охват: 193 государства — члены ООН и два государства-наблюдателя.</v>
      </c>
      <c r="H198" s="6" t="n">
        <v>46300</v>
      </c>
      <c r="I198" s="3" t="str">
        <v>Основной охват</v>
      </c>
      <c r="J198" s="8" t="n">
        <v>2</v>
      </c>
    </row>
  </sheetData>
  <hyperlinks>
    <hyperlink ref="F2" r:id="rIdURL1"/>
    <hyperlink ref="F3" r:id="rIdURL2"/>
    <hyperlink ref="F10" r:id="rIdURL3"/>
    <hyperlink ref="F11" r:id="rIdURL4"/>
    <hyperlink ref="F14" r:id="rIdURL5"/>
    <hyperlink ref="F17" r:id="rIdURL6"/>
    <hyperlink ref="F19" r:id="rIdURL7"/>
    <hyperlink ref="F20" r:id="rIdURL8"/>
    <hyperlink ref="F21" r:id="rIdURL9"/>
    <hyperlink ref="F23" r:id="rIdURL10"/>
    <hyperlink ref="F25" r:id="rIdURL11"/>
    <hyperlink ref="F32" r:id="rIdURL12"/>
    <hyperlink ref="F33" r:id="rIdURL13"/>
    <hyperlink ref="F34" r:id="rIdURL14"/>
    <hyperlink ref="F35" r:id="rIdURL15"/>
    <hyperlink ref="F41" r:id="rIdURL16"/>
    <hyperlink ref="F44" r:id="rIdURL17"/>
    <hyperlink ref="F45" r:id="rIdURL18"/>
    <hyperlink ref="F47" r:id="rIdURL19"/>
    <hyperlink ref="F49" r:id="rIdURL20"/>
    <hyperlink ref="F52" r:id="rIdURL21"/>
    <hyperlink ref="F53" r:id="rIdURL22"/>
    <hyperlink ref="F54" r:id="rIdURL23"/>
    <hyperlink ref="F56" r:id="rIdURL24"/>
    <hyperlink ref="F57" r:id="rIdURL25"/>
    <hyperlink ref="F58" r:id="rIdURL26"/>
    <hyperlink ref="F60" r:id="rIdURL27"/>
    <hyperlink ref="F62" r:id="rIdURL28"/>
    <hyperlink ref="F63" r:id="rIdURL29"/>
    <hyperlink ref="F64" r:id="rIdURL30"/>
    <hyperlink ref="F65" r:id="rIdURL31"/>
    <hyperlink ref="F66" r:id="rIdURL32"/>
    <hyperlink ref="F69" r:id="rIdURL33"/>
    <hyperlink ref="F71" r:id="rIdURL34"/>
    <hyperlink ref="F72" r:id="rIdURL35"/>
    <hyperlink ref="F74" r:id="rIdURL36"/>
    <hyperlink ref="F78" r:id="rIdURL37"/>
    <hyperlink ref="F80" r:id="rIdURL38"/>
    <hyperlink ref="F81" r:id="rIdURL39"/>
    <hyperlink ref="F82" r:id="rIdURL40"/>
    <hyperlink ref="F83" r:id="rIdURL41"/>
    <hyperlink ref="F84" r:id="rIdURL42"/>
    <hyperlink ref="F91" r:id="rIdURL43"/>
    <hyperlink ref="F92" r:id="rIdURL44"/>
    <hyperlink ref="F93" r:id="rIdURL45"/>
    <hyperlink ref="F95" r:id="rIdURL46"/>
    <hyperlink ref="F100" r:id="rIdURL47"/>
    <hyperlink ref="F103" r:id="rIdURL48"/>
    <hyperlink ref="F104" r:id="rIdURL49"/>
    <hyperlink ref="F106" r:id="rIdURL50"/>
    <hyperlink ref="F108" r:id="rIdURL51"/>
    <hyperlink ref="F110" r:id="rIdURL52"/>
    <hyperlink ref="F114" r:id="rIdURL53"/>
    <hyperlink ref="F116" r:id="rIdURL54"/>
    <hyperlink ref="F117" r:id="rIdURL55"/>
    <hyperlink ref="F119" r:id="rIdURL56"/>
    <hyperlink ref="F121" r:id="rIdURL57"/>
    <hyperlink ref="F126" r:id="rIdURL58"/>
    <hyperlink ref="F128" r:id="rIdURL59"/>
    <hyperlink ref="F129" r:id="rIdURL60"/>
    <hyperlink ref="F130" r:id="rIdURL61"/>
    <hyperlink ref="F131" r:id="rIdURL62"/>
    <hyperlink ref="F132" r:id="rIdURL63"/>
    <hyperlink ref="F133" r:id="rIdURL64"/>
    <hyperlink ref="F134" r:id="rIdURL65"/>
    <hyperlink ref="F135" r:id="rIdURL66"/>
    <hyperlink ref="F139" r:id="rIdURL67"/>
    <hyperlink ref="F141" r:id="rIdURL68"/>
    <hyperlink ref="F143" r:id="rIdURL69"/>
    <hyperlink ref="F147" r:id="rIdURL70"/>
    <hyperlink ref="F148" r:id="rIdURL71"/>
    <hyperlink ref="F150" r:id="rIdURL72"/>
    <hyperlink ref="F151" r:id="rIdURL73"/>
    <hyperlink ref="F156" r:id="rIdURL74"/>
    <hyperlink ref="F159" r:id="rIdURL75"/>
    <hyperlink ref="F160" r:id="rIdURL76"/>
    <hyperlink ref="F163" r:id="rIdURL77"/>
    <hyperlink ref="F167" r:id="rIdURL78"/>
    <hyperlink ref="F169" r:id="rIdURL79"/>
    <hyperlink ref="F171" r:id="rIdURL80"/>
    <hyperlink ref="F172" r:id="rIdURL81"/>
    <hyperlink ref="F173" r:id="rIdURL82"/>
    <hyperlink ref="F176" r:id="rIdURL83"/>
    <hyperlink ref="F177" r:id="rIdURL84"/>
    <hyperlink ref="F178" r:id="rIdURL85"/>
    <hyperlink ref="F179" r:id="rIdURL86"/>
    <hyperlink ref="F182" r:id="rIdURL87"/>
    <hyperlink ref="F183" r:id="rIdURL88"/>
    <hyperlink ref="F184" r:id="rIdURL89"/>
    <hyperlink ref="F185" r:id="rIdURL90"/>
    <hyperlink ref="F186" r:id="rIdURL91"/>
    <hyperlink ref="F188" r:id="rIdURL92"/>
    <hyperlink ref="F194" r:id="rIdURL93"/>
    <hyperlink ref="F195" r:id="rIdURL94"/>
    <hyperlink ref="F198" r:id="rIdURL95"/>
  </hyperlinks>
  <pageMargins left="0.7" right="0.7" top="0.75" bottom="0.75" header="0.3" footer="0.3"/>
  <tableParts count="1">
    <tablePart r:id="R9dbfcfcbbc4247d9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34E7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6" hidden="0" customWidth="1"/>
    <col min="2" max="2" width="27" hidden="0" customWidth="1"/>
    <col min="3" max="3" width="49" hidden="0" customWidth="1"/>
    <col min="4" max="4" width="60" hidden="0" customWidth="1"/>
    <col min="5" max="5" width="76" hidden="0" customWidth="1"/>
    <col min="6" max="6" width="64" hidden="0" customWidth="1"/>
    <col min="7" max="7" width="21" hidden="0" customWidth="1"/>
    <col min="8" max="8" width="70" hidden="0" customWidth="1"/>
  </cols>
  <sheetData>
    <row r="1" ht="85" customHeight="1">
      <c r="A1" s="5" t="str">
        <v>№</v>
      </c>
      <c r="B1" s="5" t="str">
        <v>Страна</v>
      </c>
      <c r="C1" s="5" t="str">
        <v>Организация</v>
      </c>
      <c r="D1" s="5" t="str">
        <v>Что подтверждает источник</v>
      </c>
      <c r="E1" s="5" t="str">
        <v>Прямой URL</v>
      </c>
      <c r="F1" s="5" t="str">
        <v>Результат проверки доступности</v>
      </c>
      <c r="G1" s="5" t="str">
        <v>Дата проверки</v>
      </c>
      <c r="H1" s="5" t="str">
        <v>URL после переадресации</v>
      </c>
    </row>
    <row r="2" ht="48" customHeight="1">
      <c r="A2" s="8" t="n">
        <v>1</v>
      </c>
      <c r="B2" s="3" t="str">
        <v>Австралия</v>
      </c>
      <c r="C2" s="3" t="str">
        <v>Охват страны</v>
      </c>
      <c r="D2" s="3" t="str">
        <v>Проверенный источник для поиска</v>
      </c>
      <c r="E2" s="7" t="str">
        <v>https://aap.org.au/about/Board</v>
      </c>
      <c r="F2" s="3" t="str">
        <v>Открыт; HTTP 200</v>
      </c>
      <c r="G2" s="6" t="n">
        <v>46300</v>
      </c>
      <c r="H2" s="3" t="str">
        <v>Переадресация не обнаружена</v>
      </c>
    </row>
    <row r="3" ht="48" customHeight="1">
      <c r="A3" s="8" t="n">
        <v>2</v>
      </c>
      <c r="B3" s="3" t="str">
        <v>Австралия; Новая Зеландия; Сингапур</v>
      </c>
      <c r="C3" s="3" t="str">
        <v>Australasian Association of Philosophy</v>
      </c>
      <c r="D3" s="3" t="str">
        <v>Официальный сайт; Подтверждение официальных социальных сетей</v>
      </c>
      <c r="E3" s="7" t="str">
        <v>https://aap.org.au/</v>
      </c>
      <c r="F3" s="3" t="str">
        <v>Открыт; HTTP 200</v>
      </c>
      <c r="G3" s="6" t="n">
        <v>46300</v>
      </c>
      <c r="H3" s="3" t="str">
        <v>Переадресация не обнаружена</v>
      </c>
    </row>
    <row r="4" ht="48" customHeight="1">
      <c r="A4" s="8" t="n">
        <v>3</v>
      </c>
      <c r="B4" s="3" t="str">
        <v>Австралия; Новая Зеландия; Сингапур</v>
      </c>
      <c r="C4" s="3" t="str">
        <v>Australasian Association of Philosophy</v>
      </c>
      <c r="D4" s="3" t="str">
        <v>Национальный статус; Руководство</v>
      </c>
      <c r="E4" s="7" t="str">
        <v>https://aap.org.au/about/Board</v>
      </c>
      <c r="F4" s="3" t="str">
        <v>Открыт; HTTP 200</v>
      </c>
      <c r="G4" s="6" t="n">
        <v>46300</v>
      </c>
      <c r="H4" s="3" t="str">
        <v>Переадресация не обнаружена</v>
      </c>
    </row>
    <row r="5" ht="48" customHeight="1">
      <c r="A5" s="8" t="n">
        <v>4</v>
      </c>
      <c r="B5" s="3" t="str">
        <v>Австралия; Новая Зеландия; Сингапур</v>
      </c>
      <c r="C5" s="3" t="str">
        <v>Australasian Association of Philosophy</v>
      </c>
      <c r="D5" s="3" t="str">
        <v>Основной журнал</v>
      </c>
      <c r="E5" s="7" t="str">
        <v>https://aap.org.au/AJP</v>
      </c>
      <c r="F5" s="3" t="str">
        <v>Открыт; HTTP 200</v>
      </c>
      <c r="G5" s="6" t="n">
        <v>46300</v>
      </c>
      <c r="H5" s="3" t="str">
        <v>Переадресация не обнаружена</v>
      </c>
    </row>
    <row r="6" ht="48" customHeight="1">
      <c r="A6" s="8" t="n">
        <v>5</v>
      </c>
      <c r="B6" s="3" t="str">
        <v>Австралия; Новая Зеландия; Сингапур</v>
      </c>
      <c r="C6" s="3" t="str">
        <v>Australasian Association of Philosophy</v>
      </c>
      <c r="D6" s="3" t="str">
        <v>Дополнительный журнал</v>
      </c>
      <c r="E6" s="7" t="str">
        <v>https://aap.org.au/APR</v>
      </c>
      <c r="F6" s="3" t="str">
        <v>Открыт; HTTP 200</v>
      </c>
      <c r="G6" s="6" t="n">
        <v>46300</v>
      </c>
      <c r="H6" s="3" t="str">
        <v>Переадресация не обнаружена</v>
      </c>
    </row>
    <row r="7" ht="48" customHeight="1">
      <c r="A7" s="8" t="n">
        <v>6</v>
      </c>
      <c r="B7" s="3" t="str">
        <v>Австралия; Новая Зеландия; Сингапур</v>
      </c>
      <c r="C7" s="3" t="str">
        <v>Australasian Association of Philosophy</v>
      </c>
      <c r="D7" s="3" t="str">
        <v>Другие социальные сети</v>
      </c>
      <c r="E7" s="7" t="str">
        <v>https://bsky.app/profile/aaphilosophy.bsky.social</v>
      </c>
      <c r="F7" s="3" t="str">
        <v>Открыт; HTTP 200</v>
      </c>
      <c r="G7" s="6" t="n">
        <v>46300</v>
      </c>
      <c r="H7" s="3" t="str">
        <v>Переадресация не обнаружена</v>
      </c>
    </row>
    <row r="8" ht="48" customHeight="1">
      <c r="A8" s="8" t="n">
        <v>7</v>
      </c>
      <c r="B8" s="3" t="str">
        <v>Австралия; Новая Зеландия; Сингапур</v>
      </c>
      <c r="C8" s="3" t="str">
        <v>Australasian Association of Philosophy</v>
      </c>
      <c r="D8" s="3" t="str">
        <v>X / Twitter</v>
      </c>
      <c r="E8" s="7" t="str">
        <v>https://twitter.com/AAPhilosophy</v>
      </c>
      <c r="F8" s="3" t="str">
        <v>Открыт; HTTP 200</v>
      </c>
      <c r="G8" s="6" t="n">
        <v>46300</v>
      </c>
      <c r="H8" s="7" t="str">
        <v>https://x.com/AAPhilosophy</v>
      </c>
    </row>
    <row r="9" ht="48" customHeight="1">
      <c r="A9" s="8" t="n">
        <v>8</v>
      </c>
      <c r="B9" s="3" t="str">
        <v>Австралия; Новая Зеландия; Сингапур</v>
      </c>
      <c r="C9" s="3" t="str">
        <v>Australasian Association of Philosophy</v>
      </c>
      <c r="D9" s="3" t="str">
        <v>Facebook</v>
      </c>
      <c r="E9" s="7" t="str">
        <v>https://www.facebook.com/AustralasianAssociationofPhilosophy</v>
      </c>
      <c r="F9" s="3" t="str">
        <v>Открыт; HTTP 200</v>
      </c>
      <c r="G9" s="6" t="n">
        <v>46300</v>
      </c>
      <c r="H9" s="3" t="str">
        <v>Переадресация не обнаружена</v>
      </c>
    </row>
    <row r="10" ht="48" customHeight="1">
      <c r="A10" s="8" t="n">
        <v>9</v>
      </c>
      <c r="B10" s="3" t="str">
        <v>Австралия; Новая Зеландия; Сингапур</v>
      </c>
      <c r="C10" s="3" t="str">
        <v>Australasian Association of Philosophy</v>
      </c>
      <c r="D10" s="3" t="str">
        <v>FISP: прямое национальное членство</v>
      </c>
      <c r="E10" s="7" t="str">
        <v>https://www.fisp.org/members/national-societies</v>
      </c>
      <c r="F10" s="3" t="str">
        <v>Открыт; HTTP 200</v>
      </c>
      <c r="G10" s="6" t="n">
        <v>46300</v>
      </c>
      <c r="H10" s="3" t="str">
        <v>Переадресация не обнаружена</v>
      </c>
    </row>
    <row r="11" ht="48" customHeight="1">
      <c r="A11" s="8" t="n">
        <v>10</v>
      </c>
      <c r="B11" s="3" t="str">
        <v>Австралия; Новая Зеландия; Сингапур</v>
      </c>
      <c r="C11" s="3" t="str">
        <v>Australasian Association of Philosophy</v>
      </c>
      <c r="D11" s="3" t="str">
        <v>YouTube</v>
      </c>
      <c r="E11" s="7" t="str">
        <v>https://www.youtube.com/@australasianassociationofp7413/featured</v>
      </c>
      <c r="F11" s="3" t="str">
        <v>Открыт; HTTP 200</v>
      </c>
      <c r="G11" s="6" t="n">
        <v>46300</v>
      </c>
      <c r="H11" s="7" t="str">
        <v>https://www.youtube.com/@australasianassociationofp7413/featured?cbrd=1&amp;ucbcb=1</v>
      </c>
    </row>
    <row r="12" ht="48" customHeight="1">
      <c r="A12" s="8" t="n">
        <v>11</v>
      </c>
      <c r="B12" s="3" t="str">
        <v>Австрия</v>
      </c>
      <c r="C12" s="3" t="str">
        <v>Охват страны</v>
      </c>
      <c r="D12" s="3" t="str">
        <v>Проверенный источник для поиска</v>
      </c>
      <c r="E12" s="7" t="str">
        <v>https://oegp.org/</v>
      </c>
      <c r="F12" s="3" t="str">
        <v>Открыт; HTTP 200</v>
      </c>
      <c r="G12" s="6" t="n">
        <v>46300</v>
      </c>
      <c r="H12" s="3" t="str">
        <v>Переадресация не обнаружена</v>
      </c>
    </row>
    <row r="13" ht="48" customHeight="1">
      <c r="A13" s="8" t="n">
        <v>12</v>
      </c>
      <c r="B13" s="3" t="str">
        <v>Австрия</v>
      </c>
      <c r="C13" s="3" t="str">
        <v>Österreichische Gesellschaft für Philosophie</v>
      </c>
      <c r="D13" s="3" t="str">
        <v>Официальный сайт; Национальный статус</v>
      </c>
      <c r="E13" s="7" t="str">
        <v>https://oegp.org/</v>
      </c>
      <c r="F13" s="3" t="str">
        <v>Открыт; HTTP 200</v>
      </c>
      <c r="G13" s="6" t="n">
        <v>46300</v>
      </c>
      <c r="H13" s="3" t="str">
        <v>Переадресация не обнаружена</v>
      </c>
    </row>
    <row r="14" ht="48" customHeight="1">
      <c r="A14" s="8" t="n">
        <v>13</v>
      </c>
      <c r="B14" s="3" t="str">
        <v>Австрия</v>
      </c>
      <c r="C14" s="3" t="str">
        <v>Österreichische Gesellschaft für Philosophie</v>
      </c>
      <c r="D14" s="3" t="str">
        <v>Руководство</v>
      </c>
      <c r="E14" s="7" t="str">
        <v>https://oegp.org/praesidium/</v>
      </c>
      <c r="F14" s="3" t="str">
        <v>Открыт; HTTP 200</v>
      </c>
      <c r="G14" s="6" t="n">
        <v>46300</v>
      </c>
      <c r="H14" s="3" t="str">
        <v>Переадресация не обнаружена</v>
      </c>
    </row>
    <row r="15" ht="48" customHeight="1">
      <c r="A15" s="8" t="n">
        <v>14</v>
      </c>
      <c r="B15" s="3" t="str">
        <v>Австрия</v>
      </c>
      <c r="C15" s="3" t="str">
        <v>Österreichische Gesellschaft für Philosophie</v>
      </c>
      <c r="D15" s="3" t="str">
        <v>FISP: прямое национальное членство</v>
      </c>
      <c r="E15" s="7" t="str">
        <v>https://www.fisp.org/members/national-societies</v>
      </c>
      <c r="F15" s="3" t="str">
        <v>Открыт; HTTP 200</v>
      </c>
      <c r="G15" s="6" t="n">
        <v>46300</v>
      </c>
      <c r="H15" s="3" t="str">
        <v>Переадресация не обнаружена</v>
      </c>
    </row>
    <row r="16" ht="48" customHeight="1">
      <c r="A16" s="8" t="n">
        <v>15</v>
      </c>
      <c r="B16" s="3" t="str">
        <v>Аргентина</v>
      </c>
      <c r="C16" s="3" t="str">
        <v>Охват страны</v>
      </c>
      <c r="D16" s="3" t="str">
        <v>Проверенный источник для поиска</v>
      </c>
      <c r="E16" s="7" t="str">
        <v>https://afra.org.ar/</v>
      </c>
      <c r="F16" s="3" t="str">
        <v>Открыт; HTTP 200</v>
      </c>
      <c r="G16" s="6" t="n">
        <v>46300</v>
      </c>
      <c r="H16" s="3" t="str">
        <v>Переадресация не обнаружена</v>
      </c>
    </row>
    <row r="17" ht="48" customHeight="1">
      <c r="A17" s="8" t="n">
        <v>16</v>
      </c>
      <c r="B17" s="3" t="str">
        <v>Аргентина</v>
      </c>
      <c r="C17" s="3" t="str">
        <v>Asociación Filosófica Argentina</v>
      </c>
      <c r="D17" s="3" t="str">
        <v>Официальный сайт; Национальный статус; Подтверждение официальных социальных сетей</v>
      </c>
      <c r="E17" s="7" t="str">
        <v>https://afra.org.ar/</v>
      </c>
      <c r="F17" s="3" t="str">
        <v>Открыт; HTTP 200</v>
      </c>
      <c r="G17" s="6" t="n">
        <v>46300</v>
      </c>
      <c r="H17" s="3" t="str">
        <v>Переадресация не обнаружена</v>
      </c>
    </row>
    <row r="18" ht="48" customHeight="1">
      <c r="A18" s="8" t="n">
        <v>17</v>
      </c>
      <c r="B18" s="3" t="str">
        <v>Аргентина</v>
      </c>
      <c r="C18" s="3" t="str">
        <v>Asociación Filosófica Argentina</v>
      </c>
      <c r="D18" s="3" t="str">
        <v>Дополнительное подтверждение</v>
      </c>
      <c r="E18" s="7" t="str">
        <v>https://afra.org.ar/?p=1128</v>
      </c>
      <c r="F18" s="3" t="str">
        <v>Открыт; HTTP 200</v>
      </c>
      <c r="G18" s="6" t="n">
        <v>46300</v>
      </c>
      <c r="H18" s="3" t="str">
        <v>Переадресация не обнаружена</v>
      </c>
    </row>
    <row r="19" ht="48" customHeight="1">
      <c r="A19" s="8" t="n">
        <v>18</v>
      </c>
      <c r="B19" s="3" t="str">
        <v>Аргентина</v>
      </c>
      <c r="C19" s="3" t="str">
        <v>Asociación Filosófica Argentina</v>
      </c>
      <c r="D19" s="3" t="str">
        <v>Руководство</v>
      </c>
      <c r="E19" s="7" t="str">
        <v>https://afra.org.ar/?page_id=89</v>
      </c>
      <c r="F19" s="3" t="str">
        <v>Открыт; HTTP 200</v>
      </c>
      <c r="G19" s="6" t="n">
        <v>46300</v>
      </c>
      <c r="H19" s="3" t="str">
        <v>Переадресация не обнаружена</v>
      </c>
    </row>
    <row r="20" ht="48" customHeight="1">
      <c r="A20" s="8" t="n">
        <v>19</v>
      </c>
      <c r="B20" s="3" t="str">
        <v>Аргентина</v>
      </c>
      <c r="C20" s="3" t="str">
        <v>Asociación Filosófica Argentina</v>
      </c>
      <c r="D20" s="3" t="str">
        <v>Facebook</v>
      </c>
      <c r="E20" s="7" t="str">
        <v>https://www.facebook.com/afra.filosofia</v>
      </c>
      <c r="F20" s="3" t="str">
        <v>Открыт; HTTP 200</v>
      </c>
      <c r="G20" s="6" t="n">
        <v>46300</v>
      </c>
      <c r="H20" s="3" t="str">
        <v>Переадресация не обнаружена</v>
      </c>
    </row>
    <row r="21" ht="48" customHeight="1">
      <c r="A21" s="8" t="n">
        <v>20</v>
      </c>
      <c r="B21" s="3" t="str">
        <v>Аргентина</v>
      </c>
      <c r="C21" s="3" t="str">
        <v>Asociación Filosófica Argentina</v>
      </c>
      <c r="D21" s="3" t="str">
        <v>FISP: прямое национальное членство</v>
      </c>
      <c r="E21" s="7" t="str">
        <v>https://www.fisp.org/members/national-societies</v>
      </c>
      <c r="F21" s="3" t="str">
        <v>Открыт; HTTP 200</v>
      </c>
      <c r="G21" s="6" t="n">
        <v>46300</v>
      </c>
      <c r="H21" s="3" t="str">
        <v>Переадресация не обнаружена</v>
      </c>
    </row>
    <row r="22" ht="48" customHeight="1">
      <c r="A22" s="8" t="n">
        <v>21</v>
      </c>
      <c r="B22" s="3" t="str">
        <v>Аргентина</v>
      </c>
      <c r="C22" s="3" t="str">
        <v>Sociedad Argentina de Filosofía</v>
      </c>
      <c r="D22" s="3" t="str">
        <v>Официальный сайт; Дополнительное подтверждение</v>
      </c>
      <c r="E22" s="7" t="str">
        <v>https://soarfil.wordpress.com/</v>
      </c>
      <c r="F22" s="3" t="str">
        <v>Открыт; HTTP 200</v>
      </c>
      <c r="G22" s="6" t="n">
        <v>46300</v>
      </c>
      <c r="H22" s="3" t="str">
        <v>Переадресация не обнаружена</v>
      </c>
    </row>
    <row r="23" ht="48" customHeight="1">
      <c r="A23" s="8" t="n">
        <v>22</v>
      </c>
      <c r="B23" s="3" t="str">
        <v>Аргентина</v>
      </c>
      <c r="C23" s="3" t="str">
        <v>Sociedad Argentina de Filosofía</v>
      </c>
      <c r="D23" s="3" t="str">
        <v>Национальный статус; FISP: прямое национальное членство</v>
      </c>
      <c r="E23" s="7" t="str">
        <v>https://www.fisp.org/members/national-societies</v>
      </c>
      <c r="F23" s="3" t="str">
        <v>Открыт; HTTP 200</v>
      </c>
      <c r="G23" s="6" t="n">
        <v>46300</v>
      </c>
      <c r="H23" s="3" t="str">
        <v>Переадресация не обнаружена</v>
      </c>
    </row>
    <row r="24" ht="48" customHeight="1">
      <c r="A24" s="8" t="n">
        <v>23</v>
      </c>
      <c r="B24" s="3" t="str">
        <v>Армения</v>
      </c>
      <c r="C24" s="3" t="str">
        <v>Охват страны</v>
      </c>
      <c r="D24" s="3" t="str">
        <v>Проверенный источник для поиска</v>
      </c>
      <c r="E24" s="7" t="str">
        <v>https://www.fisp.org/members/national-societies</v>
      </c>
      <c r="F24" s="3" t="str">
        <v>Открыт; HTTP 200</v>
      </c>
      <c r="G24" s="6" t="n">
        <v>46300</v>
      </c>
      <c r="H24" s="3" t="str">
        <v>Переадресация не обнаружена</v>
      </c>
    </row>
    <row r="25" ht="48" customHeight="1">
      <c r="A25" s="8" t="n">
        <v>24</v>
      </c>
      <c r="B25" s="3" t="str">
        <v>Армения</v>
      </c>
      <c r="C25" s="3" t="str">
        <v>Armenian Philosophical Academy</v>
      </c>
      <c r="D25" s="3" t="str">
        <v>Официальный сайт</v>
      </c>
      <c r="E25" s="7" t="str">
        <v>https://apha.am/</v>
      </c>
      <c r="F25" s="3" t="str">
        <v>Открыт; HTTP 206</v>
      </c>
      <c r="G25" s="6" t="n">
        <v>46300</v>
      </c>
      <c r="H25" s="3" t="str">
        <v>Переадресация не обнаружена</v>
      </c>
    </row>
    <row r="26" ht="48" customHeight="1">
      <c r="A26" s="8" t="n">
        <v>25</v>
      </c>
      <c r="B26" s="3" t="str">
        <v>Армения</v>
      </c>
      <c r="C26" s="3" t="str">
        <v>Armenian Philosophical Academy</v>
      </c>
      <c r="D26" s="3" t="str">
        <v>Национальный статус; FISP: прямое национальное членство</v>
      </c>
      <c r="E26" s="7" t="str">
        <v>https://www.fisp.org/members/national-societies</v>
      </c>
      <c r="F26" s="3" t="str">
        <v>Открыт; HTTP 200</v>
      </c>
      <c r="G26" s="6" t="n">
        <v>46300</v>
      </c>
      <c r="H26" s="3" t="str">
        <v>Переадресация не обнаружена</v>
      </c>
    </row>
    <row r="27" ht="48" customHeight="1">
      <c r="A27" s="8" t="n">
        <v>26</v>
      </c>
      <c r="B27" s="3" t="str">
        <v>Бангладеш</v>
      </c>
      <c r="C27" s="3" t="str">
        <v>Bangladesh Philosophical Society</v>
      </c>
      <c r="D27" s="3" t="str">
        <v>Национальный статус</v>
      </c>
      <c r="E27" s="7" t="str">
        <v>https://www.bssnews.net/news-flash/410663</v>
      </c>
      <c r="F27" s="3" t="str">
        <v>Открыт; HTTP 200</v>
      </c>
      <c r="G27" s="6" t="n">
        <v>46300</v>
      </c>
      <c r="H27" s="3" t="str">
        <v>Переадресация не обнаружена</v>
      </c>
    </row>
    <row r="28" ht="48" customHeight="1">
      <c r="A28" s="8" t="n">
        <v>27</v>
      </c>
      <c r="B28" s="3" t="str">
        <v>Беларусь</v>
      </c>
      <c r="C28" s="3" t="str">
        <v>Охват страны</v>
      </c>
      <c r="D28" s="3" t="str">
        <v>Проверенный источник для поиска</v>
      </c>
      <c r="E28" s="7" t="str">
        <v>https://philosophy.by/en/community/society/</v>
      </c>
      <c r="F28" s="3" t="str">
        <v>Открыт; HTTP 200</v>
      </c>
      <c r="G28" s="6" t="n">
        <v>46300</v>
      </c>
      <c r="H28" s="3" t="str">
        <v>Переадресация не обнаружена</v>
      </c>
    </row>
    <row r="29" ht="48" customHeight="1">
      <c r="A29" s="8" t="n">
        <v>28</v>
      </c>
      <c r="B29" s="3" t="str">
        <v>Беларусь</v>
      </c>
      <c r="C29" s="3" t="str">
        <v>Республиканское общественное объединение «Белорусское философское общество»</v>
      </c>
      <c r="D29" s="3" t="str">
        <v>Официальный сайт; Национальный статус</v>
      </c>
      <c r="E29" s="7" t="str">
        <v>https://philosophy.by/en/community/society/</v>
      </c>
      <c r="F29" s="3" t="str">
        <v>Открыт; HTTP 200</v>
      </c>
      <c r="G29" s="6" t="n">
        <v>46300</v>
      </c>
      <c r="H29" s="3" t="str">
        <v>Переадресация не обнаружена</v>
      </c>
    </row>
    <row r="30" ht="48" customHeight="1">
      <c r="A30" s="8" t="n">
        <v>29</v>
      </c>
      <c r="B30" s="3" t="str">
        <v>Бельгия</v>
      </c>
      <c r="C30" s="3" t="str">
        <v>Охват страны</v>
      </c>
      <c r="D30" s="3" t="str">
        <v>Проверенный источник для поиска</v>
      </c>
      <c r="E30" s="7" t="str">
        <v>https://asplf.org/liste-des-societes/</v>
      </c>
      <c r="F30" s="3" t="str">
        <v>Открыт; HTTP 200</v>
      </c>
      <c r="G30" s="6" t="n">
        <v>46300</v>
      </c>
      <c r="H30" s="3" t="str">
        <v>Переадресация не обнаружена</v>
      </c>
    </row>
    <row r="31" ht="48" customHeight="1">
      <c r="A31" s="8" t="n">
        <v>30</v>
      </c>
      <c r="B31" s="3" t="str">
        <v>Бельгия</v>
      </c>
      <c r="C31" s="3" t="str">
        <v>Société belge de philosophie</v>
      </c>
      <c r="D31" s="3" t="str">
        <v>Национальный статус</v>
      </c>
      <c r="E31" s="7" t="str">
        <v>https://asplf.org/liste-des-societes/</v>
      </c>
      <c r="F31" s="3" t="str">
        <v>Открыт; HTTP 200</v>
      </c>
      <c r="G31" s="6" t="n">
        <v>46300</v>
      </c>
      <c r="H31" s="3" t="str">
        <v>Переадресация не обнаружена</v>
      </c>
    </row>
    <row r="32" ht="48" customHeight="1">
      <c r="A32" s="8" t="n">
        <v>31</v>
      </c>
      <c r="B32" s="3" t="str">
        <v>Бельгия</v>
      </c>
      <c r="C32" s="3" t="str">
        <v>Société belge de philosophie</v>
      </c>
      <c r="D32" s="3" t="str">
        <v>Официальный сайт</v>
      </c>
      <c r="E32" s="7" t="str">
        <v>https://www.sobelphi.be/</v>
      </c>
      <c r="F32" s="3" t="str">
        <v>При проверке не открылся; HTTP 502</v>
      </c>
      <c r="G32" s="6" t="n">
        <v>46300</v>
      </c>
      <c r="H32" s="3" t="str">
        <v>Переадресация не обнаружена</v>
      </c>
    </row>
    <row r="33" ht="48" customHeight="1">
      <c r="A33" s="8" t="n">
        <v>32</v>
      </c>
      <c r="B33" s="3" t="str">
        <v>Бенин</v>
      </c>
      <c r="C33" s="3" t="str">
        <v>Охват страны</v>
      </c>
      <c r="D33" s="3" t="str">
        <v>Проверенный источник для поиска</v>
      </c>
      <c r="E33" s="7" t="str">
        <v>https://asplf.org/liste-des-societes/</v>
      </c>
      <c r="F33" s="3" t="str">
        <v>Открыт; HTTP 200</v>
      </c>
      <c r="G33" s="6" t="n">
        <v>46300</v>
      </c>
      <c r="H33" s="3" t="str">
        <v>Переадресация не обнаружена</v>
      </c>
    </row>
    <row r="34" ht="48" customHeight="1">
      <c r="A34" s="8" t="n">
        <v>33</v>
      </c>
      <c r="B34" s="3" t="str">
        <v>Бенин</v>
      </c>
      <c r="C34" s="3" t="str">
        <v>Société Béninoise de Philosophie</v>
      </c>
      <c r="D34" s="3" t="str">
        <v>Национальный статус</v>
      </c>
      <c r="E34" s="7" t="str">
        <v>https://asplf.org/liste-des-societes/</v>
      </c>
      <c r="F34" s="3" t="str">
        <v>Открыт; HTTP 200</v>
      </c>
      <c r="G34" s="6" t="n">
        <v>46300</v>
      </c>
      <c r="H34" s="3" t="str">
        <v>Переадресация не обнаружена</v>
      </c>
    </row>
    <row r="35" ht="48" customHeight="1">
      <c r="A35" s="8" t="n">
        <v>34</v>
      </c>
      <c r="B35" s="3" t="str">
        <v>Бенин</v>
      </c>
      <c r="C35" s="3" t="str">
        <v>Société Béninoise de Philosophie</v>
      </c>
      <c r="D35" s="3" t="str">
        <v>Основной журнал</v>
      </c>
      <c r="E35" s="7" t="str">
        <v>https://www.bec.uac.bj/uploads/publication/ea52179f022d46342eb43f3a15d39e9e.pdf</v>
      </c>
      <c r="F35" s="3" t="str">
        <v>Открыт; HTTP 206</v>
      </c>
      <c r="G35" s="6" t="n">
        <v>46300</v>
      </c>
      <c r="H35" s="3" t="str">
        <v>Переадресация не обнаружена</v>
      </c>
    </row>
    <row r="36" ht="48" customHeight="1">
      <c r="A36" s="8" t="n">
        <v>35</v>
      </c>
      <c r="B36" s="3" t="str">
        <v>Болгария</v>
      </c>
      <c r="C36" s="3" t="str">
        <v>БЪЛГАРСКО ФИЛОСОФСКО ОБЩЕСТВО</v>
      </c>
      <c r="D36" s="3" t="str">
        <v>Официальный сайт; Национальный статус</v>
      </c>
      <c r="E36" s="7" t="str">
        <v>https://bulgarianphilosophicalsociety.wordpress.com/</v>
      </c>
      <c r="F36" s="3" t="str">
        <v>Открыт; HTTP 200</v>
      </c>
      <c r="G36" s="6" t="n">
        <v>46300</v>
      </c>
      <c r="H36" s="3" t="str">
        <v>Переадресация не обнаружена</v>
      </c>
    </row>
    <row r="37" ht="48" customHeight="1">
      <c r="A37" s="8" t="n">
        <v>36</v>
      </c>
      <c r="B37" s="3" t="str">
        <v>Болгария</v>
      </c>
      <c r="C37" s="3" t="str">
        <v>БЪЛГАРСКО ФИЛОСОФСКО ОБЩЕСТВО</v>
      </c>
      <c r="D37" s="3" t="str">
        <v>FISP: прямое национальное членство</v>
      </c>
      <c r="E37" s="7" t="str">
        <v>https://www.fisp.org/members/national-societies</v>
      </c>
      <c r="F37" s="3" t="str">
        <v>Открыт; HTTP 200</v>
      </c>
      <c r="G37" s="6" t="n">
        <v>46300</v>
      </c>
      <c r="H37" s="3" t="str">
        <v>Переадресация не обнаружена</v>
      </c>
    </row>
    <row r="38" ht="48" customHeight="1">
      <c r="A38" s="8" t="n">
        <v>37</v>
      </c>
      <c r="B38" s="3" t="str">
        <v>Болгария</v>
      </c>
      <c r="C38" s="3" t="str">
        <v>Охват страны</v>
      </c>
      <c r="D38" s="3" t="str">
        <v>Проверенный источник для поиска</v>
      </c>
      <c r="E38" s="7" t="str">
        <v>https://www.fisp.org/members/national-societies</v>
      </c>
      <c r="F38" s="3" t="str">
        <v>Открыт; HTTP 200</v>
      </c>
      <c r="G38" s="6" t="n">
        <v>46300</v>
      </c>
      <c r="H38" s="3" t="str">
        <v>Переадресация не обнаружена</v>
      </c>
    </row>
    <row r="39" ht="48" customHeight="1">
      <c r="A39" s="8" t="n">
        <v>38</v>
      </c>
      <c r="B39" s="3" t="str">
        <v>Босния и Герцеговина</v>
      </c>
      <c r="C39" s="3" t="str">
        <v>Filozofsko društvo “Theoria”</v>
      </c>
      <c r="D39" s="3" t="str">
        <v>Основной журнал</v>
      </c>
      <c r="E39" s="7" t="str">
        <v>https://theoria.fdt.ba/index.php/journal/about</v>
      </c>
      <c r="F39" s="3" t="str">
        <v>При проверке не открылся; HTTP 502</v>
      </c>
      <c r="G39" s="6" t="n">
        <v>46300</v>
      </c>
      <c r="H39" s="3" t="str">
        <v>Переадресация не обнаружена</v>
      </c>
    </row>
    <row r="40" ht="48" customHeight="1">
      <c r="A40" s="8" t="n">
        <v>39</v>
      </c>
      <c r="B40" s="3" t="str">
        <v>Босния и Герцеговина</v>
      </c>
      <c r="C40" s="3" t="str">
        <v>Filozofsko društvo “Theoria”</v>
      </c>
      <c r="D40" s="3" t="str">
        <v>Официальный сайт</v>
      </c>
      <c r="E40" s="7" t="str">
        <v>https://www.fdt.ba/</v>
      </c>
      <c r="F40" s="3" t="str">
        <v>Открыт; HTTP 206</v>
      </c>
      <c r="G40" s="6" t="n">
        <v>46300</v>
      </c>
      <c r="H40" s="3" t="str">
        <v>Переадресация не обнаружена</v>
      </c>
    </row>
    <row r="41" ht="48" customHeight="1">
      <c r="A41" s="8" t="n">
        <v>40</v>
      </c>
      <c r="B41" s="3" t="str">
        <v>Босния и Герцеговина</v>
      </c>
      <c r="C41" s="3" t="str">
        <v>Filozofsko društvo “Theoria”</v>
      </c>
      <c r="D41" s="3" t="str">
        <v>Национальный статус</v>
      </c>
      <c r="E41" s="7" t="str">
        <v>https://www.fdt.ba/o-nama/</v>
      </c>
      <c r="F41" s="3" t="str">
        <v>Открыт; HTTP 206</v>
      </c>
      <c r="G41" s="6" t="n">
        <v>46300</v>
      </c>
      <c r="H41" s="3" t="str">
        <v>Переадресация не обнаружена</v>
      </c>
    </row>
    <row r="42" ht="48" customHeight="1">
      <c r="A42" s="8" t="n">
        <v>41</v>
      </c>
      <c r="B42" s="3" t="str">
        <v>Бразилия</v>
      </c>
      <c r="C42" s="3" t="str">
        <v>Охват страны</v>
      </c>
      <c r="D42" s="3" t="str">
        <v>Проверенный источник для поиска</v>
      </c>
      <c r="E42" s="7" t="str">
        <v>https://www.anpof.org/</v>
      </c>
      <c r="F42" s="3" t="str">
        <v>Открыт; HTTP 200</v>
      </c>
      <c r="G42" s="6" t="n">
        <v>46300</v>
      </c>
      <c r="H42" s="3" t="str">
        <v>Переадресация не обнаружена</v>
      </c>
    </row>
    <row r="43" ht="48" customHeight="1">
      <c r="A43" s="8" t="n">
        <v>42</v>
      </c>
      <c r="B43" s="3" t="str">
        <v>Бразилия</v>
      </c>
      <c r="C43" s="3" t="str">
        <v>Academia Brasileira de Filosofia</v>
      </c>
      <c r="D43" s="3" t="str">
        <v>Официальный сайт</v>
      </c>
      <c r="E43" s="7" t="str">
        <v>https://www.academia-de-filosofia.org.br/</v>
      </c>
      <c r="F43" s="3" t="str">
        <v>Открыт; HTTP 200</v>
      </c>
      <c r="G43" s="6" t="n">
        <v>46300</v>
      </c>
      <c r="H43" s="3" t="str">
        <v>Переадресация не обнаружена</v>
      </c>
    </row>
    <row r="44" ht="48" customHeight="1">
      <c r="A44" s="8" t="n">
        <v>43</v>
      </c>
      <c r="B44" s="3" t="str">
        <v>Бразилия</v>
      </c>
      <c r="C44" s="3" t="str">
        <v>Academia Brasileira de Filosofia</v>
      </c>
      <c r="D44" s="3" t="str">
        <v>Национальный статус; Руководство</v>
      </c>
      <c r="E44" s="7" t="str">
        <v>https://www.academia-de-filosofia.org.br/academia</v>
      </c>
      <c r="F44" s="3" t="str">
        <v>Открыт; HTTP 200</v>
      </c>
      <c r="G44" s="6" t="n">
        <v>46300</v>
      </c>
      <c r="H44" s="3" t="str">
        <v>Переадресация не обнаружена</v>
      </c>
    </row>
    <row r="45" ht="48" customHeight="1">
      <c r="A45" s="8" t="n">
        <v>44</v>
      </c>
      <c r="B45" s="3" t="str">
        <v>Бразилия</v>
      </c>
      <c r="C45" s="3" t="str">
        <v>Academia Brasileira de Filosofia</v>
      </c>
      <c r="D45" s="3" t="str">
        <v>FISP: прямое национальное членство</v>
      </c>
      <c r="E45" s="7" t="str">
        <v>https://www.fisp.org/members/national-societies</v>
      </c>
      <c r="F45" s="3" t="str">
        <v>Открыт; HTTP 200</v>
      </c>
      <c r="G45" s="6" t="n">
        <v>46300</v>
      </c>
      <c r="H45" s="3" t="str">
        <v>Переадресация не обнаружена</v>
      </c>
    </row>
    <row r="46" ht="48" customHeight="1">
      <c r="A46" s="8" t="n">
        <v>45</v>
      </c>
      <c r="B46" s="3" t="str">
        <v>Бразилия</v>
      </c>
      <c r="C46" s="3" t="str">
        <v>Associação Nacional de Pós-Graduação em Filosofia</v>
      </c>
      <c r="D46" s="3" t="str">
        <v>Официальный сайт; Национальный статус</v>
      </c>
      <c r="E46" s="7" t="str">
        <v>https://www.anpof.org/</v>
      </c>
      <c r="F46" s="3" t="str">
        <v>Открыт; HTTP 200</v>
      </c>
      <c r="G46" s="6" t="n">
        <v>46300</v>
      </c>
      <c r="H46" s="3" t="str">
        <v>Переадресация не обнаружена</v>
      </c>
    </row>
    <row r="47" ht="48" customHeight="1">
      <c r="A47" s="8" t="n">
        <v>46</v>
      </c>
      <c r="B47" s="3" t="str">
        <v>Бразилия</v>
      </c>
      <c r="C47" s="3" t="str">
        <v>Associação Nacional de Pós-Graduação em Filosofia</v>
      </c>
      <c r="D47" s="3" t="str">
        <v>Руководство</v>
      </c>
      <c r="E47" s="7" t="str">
        <v>https://www.anpof.org/anpof/diretoria</v>
      </c>
      <c r="F47" s="3" t="str">
        <v>Открыт; HTTP 200</v>
      </c>
      <c r="G47" s="6" t="n">
        <v>46300</v>
      </c>
      <c r="H47" s="3" t="str">
        <v>Переадресация не обнаружена</v>
      </c>
    </row>
    <row r="48" ht="48" customHeight="1">
      <c r="A48" s="8" t="n">
        <v>47</v>
      </c>
      <c r="B48" s="3" t="str">
        <v>Бразилия</v>
      </c>
      <c r="C48" s="3" t="str">
        <v>Associação Nacional de Pós-Graduação em Filosofia</v>
      </c>
      <c r="D48" s="3" t="str">
        <v>FISP: прямое национальное членство</v>
      </c>
      <c r="E48" s="7" t="str">
        <v>https://www.fisp.org/members/national-societies</v>
      </c>
      <c r="F48" s="3" t="str">
        <v>Открыт; HTTP 200</v>
      </c>
      <c r="G48" s="6" t="n">
        <v>46300</v>
      </c>
      <c r="H48" s="3" t="str">
        <v>Переадресация не обнаружена</v>
      </c>
    </row>
    <row r="49" ht="48" customHeight="1">
      <c r="A49" s="8" t="n">
        <v>48</v>
      </c>
      <c r="B49" s="3" t="str">
        <v>Великобритания</v>
      </c>
      <c r="C49" s="3" t="str">
        <v>Охват страны</v>
      </c>
      <c r="D49" s="3" t="str">
        <v>Проверенный источник для поиска</v>
      </c>
      <c r="E49" s="7" t="str">
        <v>https://bpa.ac.uk/join/</v>
      </c>
      <c r="F49" s="3" t="str">
        <v>Открыт; HTTP 200</v>
      </c>
      <c r="G49" s="6" t="n">
        <v>46300</v>
      </c>
      <c r="H49" s="3" t="str">
        <v>Переадресация не обнаружена</v>
      </c>
    </row>
    <row r="50" ht="48" customHeight="1">
      <c r="A50" s="8" t="n">
        <v>49</v>
      </c>
      <c r="B50" s="3" t="str">
        <v>Великобритания</v>
      </c>
      <c r="C50" s="3" t="str">
        <v>British Philosophical Association</v>
      </c>
      <c r="D50" s="3" t="str">
        <v>Официальный сайт; Подтверждение официальных социальных сетей</v>
      </c>
      <c r="E50" s="7" t="str">
        <v>https://bpa.ac.uk/</v>
      </c>
      <c r="F50" s="3" t="str">
        <v>Открыт; HTTP 200</v>
      </c>
      <c r="G50" s="6" t="n">
        <v>46300</v>
      </c>
      <c r="H50" s="3" t="str">
        <v>Переадресация не обнаружена</v>
      </c>
    </row>
    <row r="51" ht="48" customHeight="1">
      <c r="A51" s="8" t="n">
        <v>50</v>
      </c>
      <c r="B51" s="3" t="str">
        <v>Великобритания</v>
      </c>
      <c r="C51" s="3" t="str">
        <v>British Philosophical Association</v>
      </c>
      <c r="D51" s="3" t="str">
        <v>Национальный статус</v>
      </c>
      <c r="E51" s="7" t="str">
        <v>https://bpa.ac.uk/join/</v>
      </c>
      <c r="F51" s="3" t="str">
        <v>Открыт; HTTP 200</v>
      </c>
      <c r="G51" s="6" t="n">
        <v>46300</v>
      </c>
      <c r="H51" s="3" t="str">
        <v>Переадресация не обнаружена</v>
      </c>
    </row>
    <row r="52" ht="48" customHeight="1">
      <c r="A52" s="8" t="n">
        <v>51</v>
      </c>
      <c r="B52" s="3" t="str">
        <v>Великобритания</v>
      </c>
      <c r="C52" s="3" t="str">
        <v>British Philosophical Association</v>
      </c>
      <c r="D52" s="3" t="str">
        <v>Руководство</v>
      </c>
      <c r="E52" s="7" t="str">
        <v>https://bpa.ac.uk/prizes2026/</v>
      </c>
      <c r="F52" s="3" t="str">
        <v>Открыт; HTTP 200</v>
      </c>
      <c r="G52" s="6" t="n">
        <v>46300</v>
      </c>
      <c r="H52" s="3" t="str">
        <v>Переадресация не обнаружена</v>
      </c>
    </row>
    <row r="53" ht="48" customHeight="1">
      <c r="A53" s="8" t="n">
        <v>52</v>
      </c>
      <c r="B53" s="3" t="str">
        <v>Великобритания</v>
      </c>
      <c r="C53" s="3" t="str">
        <v>British Philosophical Association</v>
      </c>
      <c r="D53" s="3" t="str">
        <v>X / Twitter</v>
      </c>
      <c r="E53" s="7" t="str">
        <v>https://twitter.com/BritishPhiloso1</v>
      </c>
      <c r="F53" s="3" t="str">
        <v>Открыт; HTTP 200</v>
      </c>
      <c r="G53" s="6" t="n">
        <v>46300</v>
      </c>
      <c r="H53" s="7" t="str">
        <v>https://x.com/BritishPhiloso1</v>
      </c>
    </row>
    <row r="54" ht="48" customHeight="1">
      <c r="A54" s="8" t="n">
        <v>53</v>
      </c>
      <c r="B54" s="3" t="str">
        <v>Великобритания</v>
      </c>
      <c r="C54" s="3" t="str">
        <v>British Philosophical Association</v>
      </c>
      <c r="D54" s="3" t="str">
        <v>FISP: прямое национальное членство</v>
      </c>
      <c r="E54" s="7" t="str">
        <v>https://www.fisp.org/members/national-societies</v>
      </c>
      <c r="F54" s="3" t="str">
        <v>Открыт; HTTP 200</v>
      </c>
      <c r="G54" s="6" t="n">
        <v>46300</v>
      </c>
      <c r="H54" s="3" t="str">
        <v>Переадресация не обнаружена</v>
      </c>
    </row>
    <row r="55" ht="48" customHeight="1">
      <c r="A55" s="8" t="n">
        <v>54</v>
      </c>
      <c r="B55" s="3" t="str">
        <v>Великобритания</v>
      </c>
      <c r="C55" s="3" t="str">
        <v>The Aristotelian Society</v>
      </c>
      <c r="D55" s="3" t="str">
        <v>Другие социальные сети</v>
      </c>
      <c r="E55" s="7" t="str">
        <v>https://bsky.app/profile/aristotsoc.bsky.social</v>
      </c>
      <c r="F55" s="3" t="str">
        <v>Открыт; HTTP 200</v>
      </c>
      <c r="G55" s="6" t="n">
        <v>46300</v>
      </c>
      <c r="H55" s="3" t="str">
        <v>Переадресация не обнаружена</v>
      </c>
    </row>
    <row r="56" ht="48" customHeight="1">
      <c r="A56" s="8" t="n">
        <v>55</v>
      </c>
      <c r="B56" s="3" t="str">
        <v>Великобритания</v>
      </c>
      <c r="C56" s="3" t="str">
        <v>The Aristotelian Society</v>
      </c>
      <c r="D56" s="3" t="str">
        <v>X / Twitter</v>
      </c>
      <c r="E56" s="7" t="str">
        <v>https://twitter.com/Aristotweets</v>
      </c>
      <c r="F56" s="3" t="str">
        <v>Открыт; HTTP 200</v>
      </c>
      <c r="G56" s="6" t="n">
        <v>46300</v>
      </c>
      <c r="H56" s="7" t="str">
        <v>https://x.com/Aristotweets</v>
      </c>
    </row>
    <row r="57" ht="48" customHeight="1">
      <c r="A57" s="8" t="n">
        <v>56</v>
      </c>
      <c r="B57" s="3" t="str">
        <v>Великобритания</v>
      </c>
      <c r="C57" s="3" t="str">
        <v>The Aristotelian Society</v>
      </c>
      <c r="D57" s="3" t="str">
        <v>Официальный сайт</v>
      </c>
      <c r="E57" s="7" t="str">
        <v>https://www.aristoteliansociety.org.uk/</v>
      </c>
      <c r="F57" s="3" t="str">
        <v>Открыт; HTTP 200</v>
      </c>
      <c r="G57" s="6" t="n">
        <v>46300</v>
      </c>
      <c r="H57" s="3" t="str">
        <v>Переадресация не обнаружена</v>
      </c>
    </row>
    <row r="58" ht="48" customHeight="1">
      <c r="A58" s="8" t="n">
        <v>57</v>
      </c>
      <c r="B58" s="3" t="str">
        <v>Великобритания</v>
      </c>
      <c r="C58" s="3" t="str">
        <v>The Aristotelian Society</v>
      </c>
      <c r="D58" s="3" t="str">
        <v>Национальный статус</v>
      </c>
      <c r="E58" s="7" t="str">
        <v>https://www.aristoteliansociety.org.uk/about/</v>
      </c>
      <c r="F58" s="3" t="str">
        <v>Открыт; HTTP 200</v>
      </c>
      <c r="G58" s="6" t="n">
        <v>46300</v>
      </c>
      <c r="H58" s="3" t="str">
        <v>Переадресация не обнаружена</v>
      </c>
    </row>
    <row r="59" ht="48" customHeight="1">
      <c r="A59" s="8" t="n">
        <v>58</v>
      </c>
      <c r="B59" s="3" t="str">
        <v>Великобритания</v>
      </c>
      <c r="C59" s="3" t="str">
        <v>The Aristotelian Society</v>
      </c>
      <c r="D59" s="3" t="str">
        <v>Дополнительное подтверждение</v>
      </c>
      <c r="E59" s="7" t="str">
        <v>https://www.aristoteliansociety.org.uk/about/the-council/</v>
      </c>
      <c r="F59" s="3" t="str">
        <v>Открыт; HTTP 200</v>
      </c>
      <c r="G59" s="6" t="n">
        <v>46300</v>
      </c>
      <c r="H59" s="3" t="str">
        <v>Переадресация не обнаружена</v>
      </c>
    </row>
    <row r="60" ht="48" customHeight="1">
      <c r="A60" s="8" t="n">
        <v>59</v>
      </c>
      <c r="B60" s="3" t="str">
        <v>Великобритания</v>
      </c>
      <c r="C60" s="3" t="str">
        <v>The Aristotelian Society</v>
      </c>
      <c r="D60" s="3" t="str">
        <v>Подтверждение официальных социальных сетей; Дополнительное подтверждение</v>
      </c>
      <c r="E60" s="7" t="str">
        <v>https://www.aristoteliansociety.org.uk/about/the-executive-committee/</v>
      </c>
      <c r="F60" s="3" t="str">
        <v>Открыт; HTTP 200</v>
      </c>
      <c r="G60" s="6" t="n">
        <v>46300</v>
      </c>
      <c r="H60" s="3" t="str">
        <v>Переадресация не обнаружена</v>
      </c>
    </row>
    <row r="61" ht="48" customHeight="1">
      <c r="A61" s="8" t="n">
        <v>60</v>
      </c>
      <c r="B61" s="3" t="str">
        <v>Великобритания</v>
      </c>
      <c r="C61" s="3" t="str">
        <v>The Aristotelian Society</v>
      </c>
      <c r="D61" s="3" t="str">
        <v>Дополнительный журнал</v>
      </c>
      <c r="E61" s="7" t="str">
        <v>https://www.aristoteliansociety.org.uk/the-joint-session/</v>
      </c>
      <c r="F61" s="3" t="str">
        <v>Открыт; HTTP 200</v>
      </c>
      <c r="G61" s="6" t="n">
        <v>46300</v>
      </c>
      <c r="H61" s="3" t="str">
        <v>Переадресация не обнаружена</v>
      </c>
    </row>
    <row r="62" ht="48" customHeight="1">
      <c r="A62" s="8" t="n">
        <v>61</v>
      </c>
      <c r="B62" s="3" t="str">
        <v>Великобритания</v>
      </c>
      <c r="C62" s="3" t="str">
        <v>The Aristotelian Society</v>
      </c>
      <c r="D62" s="3" t="str">
        <v>Руководство: архивный или неполный источник, требуется актуальное подтверждение</v>
      </c>
      <c r="E62" s="7" t="str">
        <v>https://www.aristoteliansociety.org.uk/the-proceedings/the-2026-27-programme/</v>
      </c>
      <c r="F62" s="3" t="str">
        <v>Открыт; HTTP 200</v>
      </c>
      <c r="G62" s="6" t="n">
        <v>46300</v>
      </c>
      <c r="H62" s="3" t="str">
        <v>Переадресация не обнаружена</v>
      </c>
    </row>
    <row r="63" ht="48" customHeight="1">
      <c r="A63" s="8" t="n">
        <v>62</v>
      </c>
      <c r="B63" s="3" t="str">
        <v>Великобритания</v>
      </c>
      <c r="C63" s="3" t="str">
        <v>The Aristotelian Society</v>
      </c>
      <c r="D63" s="3" t="str">
        <v>Основной журнал</v>
      </c>
      <c r="E63" s="7" t="str">
        <v>https://www.aristoteliansociety.org.uk/the-proceedings/the-journal/</v>
      </c>
      <c r="F63" s="3" t="str">
        <v>Открыт; HTTP 200</v>
      </c>
      <c r="G63" s="6" t="n">
        <v>46300</v>
      </c>
      <c r="H63" s="3" t="str">
        <v>Переадресация не обнаружена</v>
      </c>
    </row>
    <row r="64" ht="48" customHeight="1">
      <c r="A64" s="8" t="n">
        <v>63</v>
      </c>
      <c r="B64" s="3" t="str">
        <v>Великобритания</v>
      </c>
      <c r="C64" s="3" t="str">
        <v>The Aristotelian Society</v>
      </c>
      <c r="D64" s="3" t="str">
        <v>Facebook</v>
      </c>
      <c r="E64" s="7" t="str">
        <v>https://www.facebook.com/aristotelian.society/</v>
      </c>
      <c r="F64" s="3" t="str">
        <v>Открыт; HTTP 200</v>
      </c>
      <c r="G64" s="6" t="n">
        <v>46300</v>
      </c>
      <c r="H64" s="3" t="str">
        <v>Переадресация не обнаружена</v>
      </c>
    </row>
    <row r="65" ht="48" customHeight="1">
      <c r="A65" s="8" t="n">
        <v>64</v>
      </c>
      <c r="B65" s="3" t="str">
        <v>Венгрия</v>
      </c>
      <c r="C65" s="3" t="str">
        <v>Охват страны</v>
      </c>
      <c r="D65" s="3" t="str">
        <v>Проверенный источник для поиска</v>
      </c>
      <c r="E65" s="7" t="str">
        <v>https://www.fisp.org/members/national-societies</v>
      </c>
      <c r="F65" s="3" t="str">
        <v>Открыт; HTTP 200</v>
      </c>
      <c r="G65" s="6" t="n">
        <v>46300</v>
      </c>
      <c r="H65" s="3" t="str">
        <v>Переадресация не обнаружена</v>
      </c>
    </row>
    <row r="66" ht="48" customHeight="1">
      <c r="A66" s="8" t="n">
        <v>65</v>
      </c>
      <c r="B66" s="3" t="str">
        <v>Венгрия</v>
      </c>
      <c r="C66" s="3" t="str">
        <v>Magyar Filozófiai Társaság</v>
      </c>
      <c r="D66" s="3" t="str">
        <v>Официальный сайт; Подтверждение официальных социальных сетей</v>
      </c>
      <c r="E66" s="7" t="str">
        <v>https://magyarfilozofiaitarsasag.wordpress.com/</v>
      </c>
      <c r="F66" s="3" t="str">
        <v>Открыт; HTTP 200</v>
      </c>
      <c r="G66" s="6" t="n">
        <v>46300</v>
      </c>
      <c r="H66" s="3" t="str">
        <v>Переадресация не обнаружена</v>
      </c>
    </row>
    <row r="67" ht="48" customHeight="1">
      <c r="A67" s="8" t="n">
        <v>66</v>
      </c>
      <c r="B67" s="3" t="str">
        <v>Венгрия</v>
      </c>
      <c r="C67" s="3" t="str">
        <v>Magyar Filozófiai Társaság</v>
      </c>
      <c r="D67" s="3" t="str">
        <v>Национальный статус</v>
      </c>
      <c r="E67" s="7" t="str">
        <v>https://magyarfilozofiaitarsasag.wordpress.com/alapszabaly/</v>
      </c>
      <c r="F67" s="3" t="str">
        <v>Открыт; HTTP 200</v>
      </c>
      <c r="G67" s="6" t="n">
        <v>46300</v>
      </c>
      <c r="H67" s="3" t="str">
        <v>Переадресация не обнаружена</v>
      </c>
    </row>
    <row r="68" ht="48" customHeight="1">
      <c r="A68" s="8" t="n">
        <v>67</v>
      </c>
      <c r="B68" s="3" t="str">
        <v>Венгрия</v>
      </c>
      <c r="C68" s="3" t="str">
        <v>Magyar Filozófiai Társaság</v>
      </c>
      <c r="D68" s="3" t="str">
        <v>Руководство</v>
      </c>
      <c r="E68" s="7" t="str">
        <v>https://magyarfilozofiaitarsasag.wordpress.com/elnokseg/</v>
      </c>
      <c r="F68" s="3" t="str">
        <v>Открыт; HTTP 200</v>
      </c>
      <c r="G68" s="6" t="n">
        <v>46300</v>
      </c>
      <c r="H68" s="3" t="str">
        <v>Переадресация не обнаружена</v>
      </c>
    </row>
    <row r="69" ht="48" customHeight="1">
      <c r="A69" s="8" t="n">
        <v>68</v>
      </c>
      <c r="B69" s="3" t="str">
        <v>Венгрия</v>
      </c>
      <c r="C69" s="3" t="str">
        <v>Magyar Filozófiai Társaság</v>
      </c>
      <c r="D69" s="3" t="str">
        <v>Facebook</v>
      </c>
      <c r="E69" s="7" t="str">
        <v>https://www.facebook.com/profile.php?id=100028121366860</v>
      </c>
      <c r="F69" s="3" t="str">
        <v>Открыт; HTTP 200</v>
      </c>
      <c r="G69" s="6" t="n">
        <v>46300</v>
      </c>
      <c r="H69" s="7" t="str">
        <v>https://www.facebook.com/people/Magyar-Filoz%C3%B3fiai-T%C3%A1rsas%C3%A1g/100028121366860/</v>
      </c>
    </row>
    <row r="70" ht="48" customHeight="1">
      <c r="A70" s="8" t="n">
        <v>69</v>
      </c>
      <c r="B70" s="3" t="str">
        <v>Венгрия</v>
      </c>
      <c r="C70" s="3" t="str">
        <v>Magyar Filozófiai Társaság</v>
      </c>
      <c r="D70" s="3" t="str">
        <v>FISP: прямое национальное членство</v>
      </c>
      <c r="E70" s="7" t="str">
        <v>https://www.fisp.org/members/national-societies</v>
      </c>
      <c r="F70" s="3" t="str">
        <v>Открыт; HTTP 200</v>
      </c>
      <c r="G70" s="6" t="n">
        <v>46300</v>
      </c>
      <c r="H70" s="3" t="str">
        <v>Переадресация не обнаружена</v>
      </c>
    </row>
    <row r="71" ht="48" customHeight="1">
      <c r="A71" s="8" t="n">
        <v>70</v>
      </c>
      <c r="B71" s="3" t="str">
        <v>Венесуэла</v>
      </c>
      <c r="C71" s="3" t="str">
        <v>Охват страны</v>
      </c>
      <c r="D71" s="3" t="str">
        <v>Проверенный источник для поиска</v>
      </c>
      <c r="E71" s="7" t="str">
        <v>https://www.fisp.org/members/national-societies</v>
      </c>
      <c r="F71" s="3" t="str">
        <v>Открыт; HTTP 200</v>
      </c>
      <c r="G71" s="6" t="n">
        <v>46300</v>
      </c>
      <c r="H71" s="3" t="str">
        <v>Переадресация не обнаружена</v>
      </c>
    </row>
    <row r="72" ht="48" customHeight="1">
      <c r="A72" s="8" t="n">
        <v>71</v>
      </c>
      <c r="B72" s="3" t="str">
        <v>Венесуэла</v>
      </c>
      <c r="C72" s="3" t="str">
        <v>Sociedad Venezolana de Filosofía</v>
      </c>
      <c r="D72" s="3" t="str">
        <v>Национальный статус; FISP: прямое национальное членство</v>
      </c>
      <c r="E72" s="7" t="str">
        <v>https://www.fisp.org/members/national-societies</v>
      </c>
      <c r="F72" s="3" t="str">
        <v>Открыт; HTTP 200</v>
      </c>
      <c r="G72" s="6" t="n">
        <v>46300</v>
      </c>
      <c r="H72" s="3" t="str">
        <v>Переадресация не обнаружена</v>
      </c>
    </row>
    <row r="73" ht="48" customHeight="1">
      <c r="A73" s="8" t="n">
        <v>72</v>
      </c>
      <c r="B73" s="3" t="str">
        <v>Вьетнам</v>
      </c>
      <c r="C73" s="3" t="str">
        <v>Охват страны</v>
      </c>
      <c r="D73" s="3" t="str">
        <v>Проверенный источник для поиска</v>
      </c>
      <c r="E73" s="7" t="str">
        <v>https://hoitriethoc.com/</v>
      </c>
      <c r="F73" s="3" t="str">
        <v>Открыт; HTTP 200</v>
      </c>
      <c r="G73" s="6" t="n">
        <v>46300</v>
      </c>
      <c r="H73" s="3" t="str">
        <v>Переадресация не обнаружена</v>
      </c>
    </row>
    <row r="74" ht="48" customHeight="1">
      <c r="A74" s="8" t="n">
        <v>73</v>
      </c>
      <c r="B74" s="3" t="str">
        <v>Вьетнам</v>
      </c>
      <c r="C74" s="3" t="str">
        <v>Hội Triết học Việt Nam</v>
      </c>
      <c r="D74" s="3" t="str">
        <v>Официальный сайт; Национальный статус</v>
      </c>
      <c r="E74" s="7" t="str">
        <v>https://hoitriethoc.com/</v>
      </c>
      <c r="F74" s="3" t="str">
        <v>Открыт; HTTP 200</v>
      </c>
      <c r="G74" s="6" t="n">
        <v>46300</v>
      </c>
      <c r="H74" s="3" t="str">
        <v>Переадресация не обнаружена</v>
      </c>
    </row>
    <row r="75" ht="48" customHeight="1">
      <c r="A75" s="8" t="n">
        <v>74</v>
      </c>
      <c r="B75" s="3" t="str">
        <v>Вьетнам</v>
      </c>
      <c r="C75" s="3" t="str">
        <v>Hội Triết học Việt Nam</v>
      </c>
      <c r="D75" s="3" t="str">
        <v>Руководство</v>
      </c>
      <c r="E75" s="7" t="str">
        <v>https://hoitriethoc.com/thong-bao-ket-qua-dai-hoi-nhiem-ky-ii-2026-2031-cua-hoi-triet-hoc-viet-nam/</v>
      </c>
      <c r="F75" s="3" t="str">
        <v>Открыт; HTTP 200</v>
      </c>
      <c r="G75" s="6" t="n">
        <v>46300</v>
      </c>
      <c r="H75" s="3" t="str">
        <v>Переадресация не обнаружена</v>
      </c>
    </row>
    <row r="76" ht="48" customHeight="1">
      <c r="A76" s="8" t="n">
        <v>75</v>
      </c>
      <c r="B76" s="3" t="str">
        <v>Вьетнам</v>
      </c>
      <c r="C76" s="3" t="str">
        <v>Hội Triết học Việt Nam</v>
      </c>
      <c r="D76" s="3" t="str">
        <v>FISP: прямое национальное членство</v>
      </c>
      <c r="E76" s="7" t="str">
        <v>https://www.fisp.org/members/national-societies</v>
      </c>
      <c r="F76" s="3" t="str">
        <v>Открыт; HTTP 200</v>
      </c>
      <c r="G76" s="6" t="n">
        <v>46300</v>
      </c>
      <c r="H76" s="3" t="str">
        <v>Переадресация не обнаружена</v>
      </c>
    </row>
    <row r="77" ht="48" customHeight="1">
      <c r="A77" s="8" t="n">
        <v>76</v>
      </c>
      <c r="B77" s="3" t="str">
        <v>Гватемала</v>
      </c>
      <c r="C77" s="3" t="str">
        <v>Охват страны</v>
      </c>
      <c r="D77" s="3" t="str">
        <v>Проверенный источник для поиска</v>
      </c>
      <c r="E77" s="7" t="str">
        <v>https://www.fisp.org/members/national-societies</v>
      </c>
      <c r="F77" s="3" t="str">
        <v>Открыт; HTTP 200</v>
      </c>
      <c r="G77" s="6" t="n">
        <v>46300</v>
      </c>
      <c r="H77" s="3" t="str">
        <v>Переадресация не обнаружена</v>
      </c>
    </row>
    <row r="78" ht="48" customHeight="1">
      <c r="A78" s="8" t="n">
        <v>77</v>
      </c>
      <c r="B78" s="3" t="str">
        <v>Гватемала</v>
      </c>
      <c r="C78" s="3" t="str">
        <v>Asociación Guatemalteca de Filosofía</v>
      </c>
      <c r="D78" s="3" t="str">
        <v>Официальный сайт</v>
      </c>
      <c r="E78" s="7" t="str">
        <v>https://agfil.org/</v>
      </c>
      <c r="F78" s="3" t="str">
        <v>При проверке не открылся; HTTP 502</v>
      </c>
      <c r="G78" s="6" t="n">
        <v>46300</v>
      </c>
      <c r="H78" s="3" t="str">
        <v>Переадресация не обнаружена</v>
      </c>
    </row>
    <row r="79" ht="48" customHeight="1">
      <c r="A79" s="8" t="n">
        <v>78</v>
      </c>
      <c r="B79" s="3" t="str">
        <v>Гватемала</v>
      </c>
      <c r="C79" s="3" t="str">
        <v>Asociación Guatemalteca de Filosofía</v>
      </c>
      <c r="D79" s="3" t="str">
        <v>Основной журнал</v>
      </c>
      <c r="E79" s="7" t="str">
        <v>https://azurrevista.com/</v>
      </c>
      <c r="F79" s="3" t="str">
        <v>Открыт; HTTP 200</v>
      </c>
      <c r="G79" s="6" t="n">
        <v>46300</v>
      </c>
      <c r="H79" s="3" t="str">
        <v>Переадресация не обнаружена</v>
      </c>
    </row>
    <row r="80" ht="48" customHeight="1">
      <c r="A80" s="8" t="n">
        <v>79</v>
      </c>
      <c r="B80" s="3" t="str">
        <v>Гватемала</v>
      </c>
      <c r="C80" s="3" t="str">
        <v>Asociación Guatemalteca de Filosofía</v>
      </c>
      <c r="D80" s="3" t="str">
        <v>Национальный статус; FISP: прямое национальное членство</v>
      </c>
      <c r="E80" s="7" t="str">
        <v>https://www.fisp.org/members/national-societies</v>
      </c>
      <c r="F80" s="3" t="str">
        <v>Открыт; HTTP 200</v>
      </c>
      <c r="G80" s="6" t="n">
        <v>46300</v>
      </c>
      <c r="H80" s="3" t="str">
        <v>Переадресация не обнаружена</v>
      </c>
    </row>
    <row r="81" ht="48" customHeight="1">
      <c r="A81" s="8" t="n">
        <v>80</v>
      </c>
      <c r="B81" s="3" t="str">
        <v>Германия</v>
      </c>
      <c r="C81" s="3" t="str">
        <v>Охват страны</v>
      </c>
      <c r="D81" s="3" t="str">
        <v>Проверенный источник для поиска</v>
      </c>
      <c r="E81" s="7" t="str">
        <v>https://www.dgphil.de/ergebnisse-der-vorstandswahl/ueber-uns/</v>
      </c>
      <c r="F81" s="3" t="str">
        <v>Открыт; HTTP 200</v>
      </c>
      <c r="G81" s="6" t="n">
        <v>46300</v>
      </c>
      <c r="H81" s="3" t="str">
        <v>Переадресация не обнаружена</v>
      </c>
    </row>
    <row r="82" ht="48" customHeight="1">
      <c r="A82" s="8" t="n">
        <v>81</v>
      </c>
      <c r="B82" s="3" t="str">
        <v>Германия</v>
      </c>
      <c r="C82" s="3" t="str">
        <v>Deutsche Gesellschaft für Philosophie e.V.</v>
      </c>
      <c r="D82" s="3" t="str">
        <v>X / Twitter</v>
      </c>
      <c r="E82" s="7" t="str">
        <v>https://twitter.com/dgphil_ev</v>
      </c>
      <c r="F82" s="3" t="str">
        <v>Открыт; HTTP 200</v>
      </c>
      <c r="G82" s="6" t="n">
        <v>46300</v>
      </c>
      <c r="H82" s="7" t="str">
        <v>https://x.com/dgphil_ev</v>
      </c>
    </row>
    <row r="83" ht="48" customHeight="1">
      <c r="A83" s="8" t="n">
        <v>82</v>
      </c>
      <c r="B83" s="3" t="str">
        <v>Германия</v>
      </c>
      <c r="C83" s="3" t="str">
        <v>Deutsche Gesellschaft für Philosophie e.V.</v>
      </c>
      <c r="D83" s="3" t="str">
        <v>Официальный сайт; Национальный статус; Подтверждение официальных социальных сетей</v>
      </c>
      <c r="E83" s="7" t="str">
        <v>https://www.dgphil.de/</v>
      </c>
      <c r="F83" s="3" t="str">
        <v>Открыт; HTTP 200</v>
      </c>
      <c r="G83" s="6" t="n">
        <v>46300</v>
      </c>
      <c r="H83" s="3" t="str">
        <v>Переадресация не обнаружена</v>
      </c>
    </row>
    <row r="84" ht="48" customHeight="1">
      <c r="A84" s="8" t="n">
        <v>83</v>
      </c>
      <c r="B84" s="3" t="str">
        <v>Германия</v>
      </c>
      <c r="C84" s="3" t="str">
        <v>Deutsche Gesellschaft für Philosophie e.V.</v>
      </c>
      <c r="D84" s="3" t="str">
        <v>Руководство</v>
      </c>
      <c r="E84" s="7" t="str">
        <v>https://www.dgphil.de/impressum/</v>
      </c>
      <c r="F84" s="3" t="str">
        <v>Открыт; HTTP 200</v>
      </c>
      <c r="G84" s="6" t="n">
        <v>46300</v>
      </c>
      <c r="H84" s="3" t="str">
        <v>Переадресация не обнаружена</v>
      </c>
    </row>
    <row r="85" ht="48" customHeight="1">
      <c r="A85" s="8" t="n">
        <v>84</v>
      </c>
      <c r="B85" s="3" t="str">
        <v>Германия</v>
      </c>
      <c r="C85" s="3" t="str">
        <v>Deutsche Gesellschaft für Philosophie e.V.</v>
      </c>
      <c r="D85" s="3" t="str">
        <v>Facebook</v>
      </c>
      <c r="E85" s="7" t="str">
        <v>https://www.facebook.com/dgphil.offiziell/</v>
      </c>
      <c r="F85" s="3" t="str">
        <v>Открыт; HTTP 200</v>
      </c>
      <c r="G85" s="6" t="n">
        <v>46300</v>
      </c>
      <c r="H85" s="3" t="str">
        <v>Переадресация не обнаружена</v>
      </c>
    </row>
    <row r="86" ht="48" customHeight="1">
      <c r="A86" s="8" t="n">
        <v>85</v>
      </c>
      <c r="B86" s="3" t="str">
        <v>Германия</v>
      </c>
      <c r="C86" s="3" t="str">
        <v>Deutsche Gesellschaft für Philosophie e.V.</v>
      </c>
      <c r="D86" s="3" t="str">
        <v>FISP: прямое национальное членство</v>
      </c>
      <c r="E86" s="7" t="str">
        <v>https://www.fisp.org/members/national-societies</v>
      </c>
      <c r="F86" s="3" t="str">
        <v>Открыт; HTTP 200</v>
      </c>
      <c r="G86" s="6" t="n">
        <v>46300</v>
      </c>
      <c r="H86" s="3" t="str">
        <v>Переадресация не обнаружена</v>
      </c>
    </row>
    <row r="87" ht="48" customHeight="1">
      <c r="A87" s="8" t="n">
        <v>86</v>
      </c>
      <c r="B87" s="3" t="str">
        <v>Гондурас</v>
      </c>
      <c r="C87" s="3" t="str">
        <v>Охват страны</v>
      </c>
      <c r="D87" s="3" t="str">
        <v>Проверенный источник для поиска</v>
      </c>
      <c r="E87" s="7" t="str">
        <v>https://rediberoamericanafilosofia.com/acafi/</v>
      </c>
      <c r="F87" s="3" t="str">
        <v>Открыт; HTTP 200</v>
      </c>
      <c r="G87" s="6" t="n">
        <v>46300</v>
      </c>
      <c r="H87" s="3" t="str">
        <v>Переадресация не обнаружена</v>
      </c>
    </row>
    <row r="88" ht="48" customHeight="1">
      <c r="A88" s="8" t="n">
        <v>87</v>
      </c>
      <c r="B88" s="3" t="str">
        <v>Гондурас</v>
      </c>
      <c r="C88" s="3" t="str">
        <v>Asociación Hondureña de Filosofía</v>
      </c>
      <c r="D88" s="3" t="str">
        <v>Кандидат исключен из основного реестра</v>
      </c>
      <c r="E88" s="7" t="str">
        <v>https://azurrevista.com/wp-content/uploads/2026/08/1_Acta-del-XIV-Congreso-Centroamericano-de-Filosofia.html</v>
      </c>
      <c r="F88" s="3" t="str">
        <v>Открыт; HTTP 206</v>
      </c>
      <c r="G88" s="6" t="n">
        <v>46300</v>
      </c>
      <c r="H88" s="3" t="str">
        <v>Переадресация не обнаружена</v>
      </c>
    </row>
    <row r="89" ht="48" customHeight="1">
      <c r="A89" s="8" t="n">
        <v>88</v>
      </c>
      <c r="B89" s="3" t="str">
        <v>Греция</v>
      </c>
      <c r="C89" s="3" t="str">
        <v>Охват страны</v>
      </c>
      <c r="D89" s="3" t="str">
        <v>Проверенный источник для поиска</v>
      </c>
      <c r="E89" s="7" t="str">
        <v>https://philosophia.org.gr/</v>
      </c>
      <c r="F89" s="3" t="str">
        <v>Открыт; HTTP 200</v>
      </c>
      <c r="G89" s="6" t="n">
        <v>46300</v>
      </c>
      <c r="H89" s="3" t="str">
        <v>Переадресация не обнаружена</v>
      </c>
    </row>
    <row r="90" ht="48" customHeight="1">
      <c r="A90" s="8" t="n">
        <v>89</v>
      </c>
      <c r="B90" s="3" t="str">
        <v>Греция</v>
      </c>
      <c r="C90" s="3" t="str">
        <v>Ελληνική Φιλοσοφική Εταιρεία</v>
      </c>
      <c r="D90" s="3" t="str">
        <v>Официальный сайт; Национальный статус</v>
      </c>
      <c r="E90" s="7" t="str">
        <v>https://philosophia.org.gr/</v>
      </c>
      <c r="F90" s="3" t="str">
        <v>Открыт; HTTP 200</v>
      </c>
      <c r="G90" s="6" t="n">
        <v>46300</v>
      </c>
      <c r="H90" s="3" t="str">
        <v>Переадресация не обнаружена</v>
      </c>
    </row>
    <row r="91" ht="48" customHeight="1">
      <c r="A91" s="8" t="n">
        <v>90</v>
      </c>
      <c r="B91" s="3" t="str">
        <v>Греция</v>
      </c>
      <c r="C91" s="3" t="str">
        <v>Ελληνική Φιλοσοφική Εταιρεία</v>
      </c>
      <c r="D91" s="3" t="str">
        <v>Руководство</v>
      </c>
      <c r="E91" s="7" t="str">
        <v>https://philosophia.org.gr/dioikisi-efe/dioikitiko-symvoylio</v>
      </c>
      <c r="F91" s="3" t="str">
        <v>Открыт; HTTP 200</v>
      </c>
      <c r="G91" s="6" t="n">
        <v>46300</v>
      </c>
      <c r="H91" s="3" t="str">
        <v>Переадресация не обнаружена</v>
      </c>
    </row>
    <row r="92" ht="48" customHeight="1">
      <c r="A92" s="8" t="n">
        <v>91</v>
      </c>
      <c r="B92" s="3" t="str">
        <v>Греция</v>
      </c>
      <c r="C92" s="3" t="str">
        <v>Ελληνική Φιλοσοφική Εταιρεία</v>
      </c>
      <c r="D92" s="3" t="str">
        <v>Основной журнал</v>
      </c>
      <c r="E92" s="7" t="str">
        <v>https://philosophia.org.gr/elliniki-filosofiki-epitheorisi</v>
      </c>
      <c r="F92" s="3" t="str">
        <v>Открыт; HTTP 200</v>
      </c>
      <c r="G92" s="6" t="n">
        <v>46300</v>
      </c>
      <c r="H92" s="3" t="str">
        <v>Переадресация не обнаружена</v>
      </c>
    </row>
    <row r="93" ht="48" customHeight="1">
      <c r="A93" s="8" t="n">
        <v>92</v>
      </c>
      <c r="B93" s="3" t="str">
        <v>Греция</v>
      </c>
      <c r="C93" s="3" t="str">
        <v>Ελληνική Φιλοσοφική Εταιρεία</v>
      </c>
      <c r="D93" s="3" t="str">
        <v>Дополнительное подтверждение</v>
      </c>
      <c r="E93" s="7" t="str">
        <v>https://philosophia.org.gr/elliniki-filosofiki-epitheorisi/teyxi</v>
      </c>
      <c r="F93" s="3" t="str">
        <v>Открыт; HTTP 200</v>
      </c>
      <c r="G93" s="6" t="n">
        <v>46300</v>
      </c>
      <c r="H93" s="3" t="str">
        <v>Переадресация не обнаружена</v>
      </c>
    </row>
    <row r="94" ht="48" customHeight="1">
      <c r="A94" s="8" t="n">
        <v>93</v>
      </c>
      <c r="B94" s="3" t="str">
        <v>Греция</v>
      </c>
      <c r="C94" s="3" t="str">
        <v>Ελληνική Φιλοσοφική Εταιρεία</v>
      </c>
      <c r="D94" s="3" t="str">
        <v>FISP: прямое национальное членство</v>
      </c>
      <c r="E94" s="7" t="str">
        <v>https://www.fisp.org/members/national-societies</v>
      </c>
      <c r="F94" s="3" t="str">
        <v>Открыт; HTTP 200</v>
      </c>
      <c r="G94" s="6" t="n">
        <v>46300</v>
      </c>
      <c r="H94" s="3" t="str">
        <v>Переадресация не обнаружена</v>
      </c>
    </row>
    <row r="95" ht="48" customHeight="1">
      <c r="A95" s="8" t="n">
        <v>94</v>
      </c>
      <c r="B95" s="3" t="str">
        <v>Дания</v>
      </c>
      <c r="C95" s="3" t="str">
        <v>Охват страны</v>
      </c>
      <c r="D95" s="3" t="str">
        <v>Проверенный источник для поиска</v>
      </c>
      <c r="E95" s="7" t="str">
        <v>https://www.filosofiskselskab.dk/vedtgter</v>
      </c>
      <c r="F95" s="3" t="str">
        <v>Открыт; HTTP 206</v>
      </c>
      <c r="G95" s="6" t="n">
        <v>46300</v>
      </c>
      <c r="H95" s="3" t="str">
        <v>Переадресация не обнаружена</v>
      </c>
    </row>
    <row r="96" ht="48" customHeight="1">
      <c r="A96" s="8" t="n">
        <v>95</v>
      </c>
      <c r="B96" s="3" t="str">
        <v>Дания</v>
      </c>
      <c r="C96" s="3" t="str">
        <v>Dansk Filosofisk Selskab</v>
      </c>
      <c r="D96" s="3" t="str">
        <v>Официальный сайт</v>
      </c>
      <c r="E96" s="7" t="str">
        <v>https://www.filosofiskselskab.dk/</v>
      </c>
      <c r="F96" s="3" t="str">
        <v>Открыт; HTTP 206</v>
      </c>
      <c r="G96" s="6" t="n">
        <v>46300</v>
      </c>
      <c r="H96" s="3" t="str">
        <v>Переадресация не обнаружена</v>
      </c>
    </row>
    <row r="97" ht="48" customHeight="1">
      <c r="A97" s="8" t="n">
        <v>96</v>
      </c>
      <c r="B97" s="3" t="str">
        <v>Дания</v>
      </c>
      <c r="C97" s="3" t="str">
        <v>Dansk Filosofisk Selskab</v>
      </c>
      <c r="D97" s="3" t="str">
        <v>Основной журнал</v>
      </c>
      <c r="E97" s="7" t="str">
        <v>https://www.filosofiskselskab.dk/aarbog</v>
      </c>
      <c r="F97" s="3" t="str">
        <v>Открыт; HTTP 206</v>
      </c>
      <c r="G97" s="6" t="n">
        <v>46300</v>
      </c>
      <c r="H97" s="7" t="str">
        <v>https://www.filosofiskselskab.dk/rbog</v>
      </c>
    </row>
    <row r="98" ht="48" customHeight="1">
      <c r="A98" s="8" t="n">
        <v>97</v>
      </c>
      <c r="B98" s="3" t="str">
        <v>Дания</v>
      </c>
      <c r="C98" s="3" t="str">
        <v>Dansk Filosofisk Selskab</v>
      </c>
      <c r="D98" s="3" t="str">
        <v>Дополнительный журнал</v>
      </c>
      <c r="E98" s="7" t="str">
        <v>https://www.filosofiskselskab.dk/anmeldelser</v>
      </c>
      <c r="F98" s="3" t="str">
        <v>Открыт; HTTP 206</v>
      </c>
      <c r="G98" s="6" t="n">
        <v>46300</v>
      </c>
      <c r="H98" s="7" t="str">
        <v>https://www.filosofiskselskab.dk/anmeldelser-1</v>
      </c>
    </row>
    <row r="99" ht="48" customHeight="1">
      <c r="A99" s="8" t="n">
        <v>98</v>
      </c>
      <c r="B99" s="3" t="str">
        <v>Дания</v>
      </c>
      <c r="C99" s="3" t="str">
        <v>Dansk Filosofisk Selskab</v>
      </c>
      <c r="D99" s="3" t="str">
        <v>Руководство</v>
      </c>
      <c r="E99" s="7" t="str">
        <v>https://www.filosofiskselskab.dk/bestyrelse</v>
      </c>
      <c r="F99" s="3" t="str">
        <v>Открыт; HTTP 206</v>
      </c>
      <c r="G99" s="6" t="n">
        <v>46300</v>
      </c>
      <c r="H99" s="3" t="str">
        <v>Переадресация не обнаружена</v>
      </c>
    </row>
    <row r="100" ht="48" customHeight="1">
      <c r="A100" s="8" t="n">
        <v>99</v>
      </c>
      <c r="B100" s="3" t="str">
        <v>Дания</v>
      </c>
      <c r="C100" s="3" t="str">
        <v>Dansk Filosofisk Selskab</v>
      </c>
      <c r="D100" s="3" t="str">
        <v>Национальный статус</v>
      </c>
      <c r="E100" s="7" t="str">
        <v>https://www.filosofiskselskab.dk/vedtgter</v>
      </c>
      <c r="F100" s="3" t="str">
        <v>Открыт; HTTP 206</v>
      </c>
      <c r="G100" s="6" t="n">
        <v>46300</v>
      </c>
      <c r="H100" s="3" t="str">
        <v>Переадресация не обнаружена</v>
      </c>
    </row>
    <row r="101" ht="48" customHeight="1">
      <c r="A101" s="8" t="n">
        <v>100</v>
      </c>
      <c r="B101" s="3" t="str">
        <v>Дания</v>
      </c>
      <c r="C101" s="3" t="str">
        <v>Dansk Filosofisk Selskab</v>
      </c>
      <c r="D101" s="3" t="str">
        <v>FISP: прямое национальное членство</v>
      </c>
      <c r="E101" s="7" t="str">
        <v>https://www.fisp.org/members/national-societies</v>
      </c>
      <c r="F101" s="3" t="str">
        <v>Открыт; HTTP 200</v>
      </c>
      <c r="G101" s="6" t="n">
        <v>46300</v>
      </c>
      <c r="H101" s="3" t="str">
        <v>Переадресация не обнаружена</v>
      </c>
    </row>
    <row r="102" ht="48" customHeight="1">
      <c r="A102" s="8" t="n">
        <v>101</v>
      </c>
      <c r="B102" s="3" t="str">
        <v>Доминиканская Республика</v>
      </c>
      <c r="C102" s="3" t="str">
        <v>Охват страны</v>
      </c>
      <c r="D102" s="3" t="str">
        <v>Проверенный источник для поиска</v>
      </c>
      <c r="E102" s="7" t="str">
        <v>https://rediberoamericanafilosofia.com/acafi/</v>
      </c>
      <c r="F102" s="3" t="str">
        <v>Открыт; HTTP 200</v>
      </c>
      <c r="G102" s="6" t="n">
        <v>46300</v>
      </c>
      <c r="H102" s="3" t="str">
        <v>Переадресация не обнаружена</v>
      </c>
    </row>
    <row r="103" ht="48" customHeight="1">
      <c r="A103" s="8" t="n">
        <v>102</v>
      </c>
      <c r="B103" s="3" t="str">
        <v>Доминиканская Республика</v>
      </c>
      <c r="C103" s="3" t="str">
        <v>Asociación Dominicana de Filosofía</v>
      </c>
      <c r="D103" s="3" t="str">
        <v>Основной журнал</v>
      </c>
      <c r="E103" s="7" t="str">
        <v>https://azurrevista.com/</v>
      </c>
      <c r="F103" s="3" t="str">
        <v>Открыт; HTTP 200</v>
      </c>
      <c r="G103" s="6" t="n">
        <v>46300</v>
      </c>
      <c r="H103" s="3" t="str">
        <v>Переадресация не обнаружена</v>
      </c>
    </row>
    <row r="104" ht="48" customHeight="1">
      <c r="A104" s="8" t="n">
        <v>103</v>
      </c>
      <c r="B104" s="3" t="str">
        <v>Доминиканская Республика</v>
      </c>
      <c r="C104" s="3" t="str">
        <v>Asociación Dominicana de Filosofía</v>
      </c>
      <c r="D104" s="3" t="str">
        <v>Национальный статус</v>
      </c>
      <c r="E104" s="7" t="str">
        <v>https://rediberoamericanafilosofia.com/acafi/</v>
      </c>
      <c r="F104" s="3" t="str">
        <v>Открыт; HTTP 200</v>
      </c>
      <c r="G104" s="6" t="n">
        <v>46300</v>
      </c>
      <c r="H104" s="3" t="str">
        <v>Переадресация не обнаружена</v>
      </c>
    </row>
    <row r="105" ht="48" customHeight="1">
      <c r="A105" s="8" t="n">
        <v>104</v>
      </c>
      <c r="B105" s="3" t="str">
        <v>ДР Конго</v>
      </c>
      <c r="C105" s="3" t="str">
        <v>Охват страны</v>
      </c>
      <c r="D105" s="3" t="str">
        <v>Проверенный источник для поиска</v>
      </c>
      <c r="E105" s="7" t="str">
        <v>https://acp.cd/nation/publication-dun-nouveau-numero-de-la-revue-dynamique-critique-par-lecole-philosophique-de-kisangani/</v>
      </c>
      <c r="F105" s="3" t="str">
        <v>Открыт; HTTP 200</v>
      </c>
      <c r="G105" s="6" t="n">
        <v>46300</v>
      </c>
      <c r="H105" s="3" t="str">
        <v>Переадресация не обнаружена</v>
      </c>
    </row>
    <row r="106" ht="48" customHeight="1">
      <c r="A106" s="8" t="n">
        <v>105</v>
      </c>
      <c r="B106" s="3" t="str">
        <v>ДР Конго</v>
      </c>
      <c r="C106" s="3" t="str">
        <v>Société Philosophique du Congo (SOPHICO)</v>
      </c>
      <c r="D106" s="3" t="str">
        <v>Национальный статус</v>
      </c>
      <c r="E106" s="7" t="str">
        <v>https://acp.cd/nation/publication-dun-nouveau-numero-de-la-revue-dynamique-critique-par-lecole-philosophique-de-kisangani/</v>
      </c>
      <c r="F106" s="3" t="str">
        <v>Открыт; HTTP 200</v>
      </c>
      <c r="G106" s="6" t="n">
        <v>46300</v>
      </c>
      <c r="H106" s="3" t="str">
        <v>Переадресация не обнаружена</v>
      </c>
    </row>
    <row r="107" ht="48" customHeight="1">
      <c r="A107" s="8" t="n">
        <v>106</v>
      </c>
      <c r="B107" s="3" t="str">
        <v>Египет</v>
      </c>
      <c r="C107" s="3" t="str">
        <v>الجمعية الفلسفية المصرية</v>
      </c>
      <c r="D107" s="3" t="str">
        <v>Основной журнал</v>
      </c>
      <c r="E107" s="7" t="str">
        <v>https://mafa.journals.ekb.eg/</v>
      </c>
      <c r="F107" s="3" t="str">
        <v>При проверке не открылся; HTTP 502</v>
      </c>
      <c r="G107" s="6" t="n">
        <v>46300</v>
      </c>
      <c r="H107" s="3" t="str">
        <v>Переадресация не обнаружена</v>
      </c>
    </row>
    <row r="108" ht="48" customHeight="1">
      <c r="A108" s="8" t="n">
        <v>107</v>
      </c>
      <c r="B108" s="3" t="str">
        <v>Египет</v>
      </c>
      <c r="C108" s="3" t="str">
        <v>الجمعية الفلسفية المصرية</v>
      </c>
      <c r="D108" s="3" t="str">
        <v>Дополнительное подтверждение</v>
      </c>
      <c r="E108" s="7" t="str">
        <v>https://www.alakhbarmedia.net/node/30034</v>
      </c>
      <c r="F108" s="3" t="str">
        <v>Открыт; HTTP 200</v>
      </c>
      <c r="G108" s="6" t="n">
        <v>46300</v>
      </c>
      <c r="H108" s="3" t="str">
        <v>Переадресация не обнаружена</v>
      </c>
    </row>
    <row r="109" ht="100" customHeight="1">
      <c r="A109" s="8" t="n">
        <v>108</v>
      </c>
      <c r="B109" s="3" t="str">
        <v>Египет</v>
      </c>
      <c r="C109" s="3" t="str">
        <v>الجمعية الفلسفية المصرية</v>
      </c>
      <c r="D109" s="3" t="str">
        <v>Национальный статус; Руководство</v>
      </c>
      <c r="E109" s="7" t="str">
        <v>https://www.dar-alifta.org/ar/articles/details/9775</v>
      </c>
      <c r="F109" s="3" t="str">
        <v>Открыт; HTTP 200</v>
      </c>
      <c r="G109" s="6" t="n">
        <v>46300</v>
      </c>
      <c r="H109" s="7" t="str">
        <v>https://www.dar-alifta.org/ar/articles/details/9775/%d8%ae%d9%84%d8%a7%d9%84-%d9%85%d9%88%d8%aa%d9%85%d8%b1-%d8%a7%d9%84%d8%ac%d9%85%d8%b9%d9%8a%d8%a9-%d8%a7%d9%84%d9%81%d9%84%d8%b3%d9%81%d9%8a%d8%a9-%d8%a7%d9%84%d9%85%d8%b5%d8%b1%d9%8a%d8%a9-%d8%a7%d9%84%d8%af%d9%83%d8%aa%d9%88%d8%b1-%d9%85%d8%b5%d8%b7%d9%81%d9%89-%d8%a7%d9%84%d9%86%d8%b4%d8%a7%d8%b1-%d9%8a%d8%af%d8%b9%d9%88-%d8%a7%d9%84%d9%89-%d8%a7%d9%86%d8%b4%d8%a7%d8%a1-%d8%b1%d8%a7%d8%a8%d8%b7%d8%a9-%d9%81</v>
      </c>
    </row>
    <row r="110" ht="48" customHeight="1">
      <c r="A110" s="8" t="n">
        <v>109</v>
      </c>
      <c r="B110" s="3" t="str">
        <v>Зимбабве</v>
      </c>
      <c r="C110" s="3" t="str">
        <v>Philosophical Society of Zimbabwe</v>
      </c>
      <c r="D110" s="3" t="str">
        <v>Национальный статус</v>
      </c>
      <c r="E110" s="7" t="str">
        <v>https://www.vernonpress.com/index.php/author/12428</v>
      </c>
      <c r="F110" s="3" t="str">
        <v>Открыт; HTTP 200</v>
      </c>
      <c r="G110" s="6" t="n">
        <v>46300</v>
      </c>
      <c r="H110" s="3" t="str">
        <v>Переадресация не обнаружена</v>
      </c>
    </row>
    <row r="111" ht="48" customHeight="1">
      <c r="A111" s="8" t="n">
        <v>110</v>
      </c>
      <c r="B111" s="3" t="str">
        <v>Израиль</v>
      </c>
      <c r="C111" s="3" t="str">
        <v>Охват страны</v>
      </c>
      <c r="D111" s="3" t="str">
        <v>Проверенный источник для поиска</v>
      </c>
      <c r="E111" s="7" t="str">
        <v>https://www.fisp.org/members/national-societies</v>
      </c>
      <c r="F111" s="3" t="str">
        <v>Открыт; HTTP 200</v>
      </c>
      <c r="G111" s="6" t="n">
        <v>46300</v>
      </c>
      <c r="H111" s="3" t="str">
        <v>Переадресация не обнаружена</v>
      </c>
    </row>
    <row r="112" ht="48" customHeight="1">
      <c r="A112" s="8" t="n">
        <v>111</v>
      </c>
      <c r="B112" s="3" t="str">
        <v>Израиль</v>
      </c>
      <c r="C112" s="3" t="str">
        <v>The New Israeli Philosophical Society</v>
      </c>
      <c r="D112" s="3" t="str">
        <v>Национальный статус; FISP: прямое национальное членство</v>
      </c>
      <c r="E112" s="7" t="str">
        <v>https://www.fisp.org/members/national-societies</v>
      </c>
      <c r="F112" s="3" t="str">
        <v>Открыт; HTTP 200</v>
      </c>
      <c r="G112" s="6" t="n">
        <v>46300</v>
      </c>
      <c r="H112" s="3" t="str">
        <v>Переадресация не обнаружена</v>
      </c>
    </row>
    <row r="113" ht="48" customHeight="1">
      <c r="A113" s="8" t="n">
        <v>112</v>
      </c>
      <c r="B113" s="3" t="str">
        <v>Индия</v>
      </c>
      <c r="C113" s="3" t="str">
        <v>Охват страны</v>
      </c>
      <c r="D113" s="3" t="str">
        <v>Проверенный источник для поиска</v>
      </c>
      <c r="E113" s="7" t="str">
        <v>https://www.fisp.org/members/national-societies</v>
      </c>
      <c r="F113" s="3" t="str">
        <v>Открыт; HTTP 200</v>
      </c>
      <c r="G113" s="6" t="n">
        <v>46300</v>
      </c>
      <c r="H113" s="3" t="str">
        <v>Переадресация не обнаружена</v>
      </c>
    </row>
    <row r="114" ht="48" customHeight="1">
      <c r="A114" s="8" t="n">
        <v>113</v>
      </c>
      <c r="B114" s="3" t="str">
        <v>Индия</v>
      </c>
      <c r="C114" s="3" t="str">
        <v>Indian Philosophical Congress</v>
      </c>
      <c r="D114" s="3" t="str">
        <v>Официальный сайт; Руководство</v>
      </c>
      <c r="E114" s="7" t="str">
        <v>https://indianphilosophicalcongress.in/</v>
      </c>
      <c r="F114" s="3" t="str">
        <v>Открыт; HTTP 200</v>
      </c>
      <c r="G114" s="6" t="n">
        <v>46300</v>
      </c>
      <c r="H114" s="3" t="str">
        <v>Переадресация не обнаружена</v>
      </c>
    </row>
    <row r="115" ht="48" customHeight="1">
      <c r="A115" s="8" t="n">
        <v>114</v>
      </c>
      <c r="B115" s="3" t="str">
        <v>Индия</v>
      </c>
      <c r="C115" s="3" t="str">
        <v>Indian Philosophical Congress</v>
      </c>
      <c r="D115" s="3" t="str">
        <v>Национальный статус; FISP: прямое национальное членство</v>
      </c>
      <c r="E115" s="7" t="str">
        <v>https://www.fisp.org/members/national-societies</v>
      </c>
      <c r="F115" s="3" t="str">
        <v>Открыт; HTTP 200</v>
      </c>
      <c r="G115" s="6" t="n">
        <v>46300</v>
      </c>
      <c r="H115" s="3" t="str">
        <v>Переадресация не обнаружена</v>
      </c>
    </row>
    <row r="116" ht="48" customHeight="1">
      <c r="A116" s="8" t="n">
        <v>115</v>
      </c>
      <c r="B116" s="3" t="str">
        <v>Индия</v>
      </c>
      <c r="C116" s="3" t="str">
        <v>अखिल भारतीय दर्शन परिषद्</v>
      </c>
      <c r="D116" s="3" t="str">
        <v>Официальный сайт</v>
      </c>
      <c r="E116" s="7" t="str">
        <v>https://www.abdpindia.net/</v>
      </c>
      <c r="F116" s="3" t="str">
        <v>Открыт; HTTP 206</v>
      </c>
      <c r="G116" s="6" t="n">
        <v>46300</v>
      </c>
      <c r="H116" s="3" t="str">
        <v>Переадресация не обнаружена</v>
      </c>
    </row>
    <row r="117" ht="48" customHeight="1">
      <c r="A117" s="8" t="n">
        <v>116</v>
      </c>
      <c r="B117" s="3" t="str">
        <v>Индия</v>
      </c>
      <c r="C117" s="3" t="str">
        <v>अखिल भारतीय दर्शन परिषद्</v>
      </c>
      <c r="D117" s="3" t="str">
        <v>Национальный статус; FISP: прямое национальное членство</v>
      </c>
      <c r="E117" s="7" t="str">
        <v>https://www.fisp.org/members/national-societies</v>
      </c>
      <c r="F117" s="3" t="str">
        <v>Открыт; HTTP 200</v>
      </c>
      <c r="G117" s="6" t="n">
        <v>46300</v>
      </c>
      <c r="H117" s="3" t="str">
        <v>Переадресация не обнаружена</v>
      </c>
    </row>
    <row r="118" ht="48" customHeight="1">
      <c r="A118" s="8" t="n">
        <v>117</v>
      </c>
      <c r="B118" s="3" t="str">
        <v>Иордания</v>
      </c>
      <c r="C118" s="3" t="str">
        <v>الجمعية الفلسفية الأردنية</v>
      </c>
      <c r="D118" s="3" t="str">
        <v>Дополнительное подтверждение</v>
      </c>
      <c r="E118" s="7" t="str">
        <v>https://culture.gov.jo/ebv4.0/root_storage/ar/eb_list_page/afkar_386.pdf</v>
      </c>
      <c r="F118" s="3" t="str">
        <v>Открыт; HTTP 206</v>
      </c>
      <c r="G118" s="6" t="n">
        <v>46300</v>
      </c>
      <c r="H118" s="3" t="str">
        <v>Переадресация не обнаружена</v>
      </c>
    </row>
    <row r="119" ht="61" customHeight="1">
      <c r="A119" s="8" t="n">
        <v>118</v>
      </c>
      <c r="B119" s="3" t="str">
        <v>Иордания</v>
      </c>
      <c r="C119" s="3" t="str">
        <v>الجمعية الفلسفية الأردنية</v>
      </c>
      <c r="D119" s="3" t="str">
        <v>Национальный статус</v>
      </c>
      <c r="E119" s="7" t="str">
        <v>https://petra.gov.jo/index.php/ar/news/%D9%85%D9%87%D8%B1%D8%AC%D8%A7%D9%86-%D8%AC%D8%B1%D8%B4-%D9%8A%D8%AD%D8%AA%D8%B6%D9%86-%D8%A7%D9%84%D9%85%D8%A4%D8%AA%D9%85%D8%B1-%D8%A7%D9%84%D9%81%D9%84%D8%B3%D9%81%D9%8A-%D8%A7%D9%84%D8%B9%D8%B1%D8%A8%D9%8A-%D8%A7%D9%84%D8%AB%D8%A7%D9%84%D8%AB-%D8%B9%D8%B4%D8%B1</v>
      </c>
      <c r="F119" s="3" t="str">
        <v>Открыт; HTTP 200</v>
      </c>
      <c r="G119" s="6" t="n">
        <v>46300</v>
      </c>
      <c r="H119" s="3" t="str">
        <v>Переадресация не обнаружена</v>
      </c>
    </row>
    <row r="120" ht="48" customHeight="1">
      <c r="A120" s="8" t="n">
        <v>119</v>
      </c>
      <c r="B120" s="3" t="str">
        <v>Иордания</v>
      </c>
      <c r="C120" s="3" t="str">
        <v>الجمعية الفلسفية الأردنية</v>
      </c>
      <c r="D120" s="3" t="str">
        <v>Руководство: архивный или неполный источник, требуется актуальное подтверждение; Дополнительное подтверждение</v>
      </c>
      <c r="E120" s="7" t="str">
        <v>https://www.ammonnews.net/article/1030112</v>
      </c>
      <c r="F120" s="3" t="str">
        <v>Открыт; HTTP 200</v>
      </c>
      <c r="G120" s="6" t="n">
        <v>46300</v>
      </c>
      <c r="H120" s="3" t="str">
        <v>Переадресация не обнаружена</v>
      </c>
    </row>
    <row r="121" ht="48" customHeight="1">
      <c r="A121" s="8" t="n">
        <v>120</v>
      </c>
      <c r="B121" s="3" t="str">
        <v>Иран</v>
      </c>
      <c r="C121" s="3" t="str">
        <v>Охват страны</v>
      </c>
      <c r="D121" s="3" t="str">
        <v>Проверенный источник для поиска</v>
      </c>
      <c r="E121" s="7" t="str">
        <v>https://www.fisp.org/members/national-societies</v>
      </c>
      <c r="F121" s="3" t="str">
        <v>Открыт; HTTP 200</v>
      </c>
      <c r="G121" s="6" t="n">
        <v>46300</v>
      </c>
      <c r="H121" s="3" t="str">
        <v>Переадресация не обнаружена</v>
      </c>
    </row>
    <row r="122" ht="48" customHeight="1">
      <c r="A122" s="8" t="n">
        <v>121</v>
      </c>
      <c r="B122" s="3" t="str">
        <v>Иран</v>
      </c>
      <c r="C122" s="3" t="str">
        <v>انجمن حکمت و فلسفۀ ایران</v>
      </c>
      <c r="D122" s="3" t="str">
        <v>Официальный сайт; Подтверждение официальных социальных сетей</v>
      </c>
      <c r="E122" s="7" t="str">
        <v>https://ipso.ir/</v>
      </c>
      <c r="F122" s="3" t="str">
        <v>Открыт; HTTP 200</v>
      </c>
      <c r="G122" s="6" t="n">
        <v>46300</v>
      </c>
      <c r="H122" s="3" t="str">
        <v>Переадресация не обнаружена</v>
      </c>
    </row>
    <row r="123" ht="48" customHeight="1">
      <c r="A123" s="8" t="n">
        <v>122</v>
      </c>
      <c r="B123" s="3" t="str">
        <v>Иран</v>
      </c>
      <c r="C123" s="3" t="str">
        <v>انجمن حکمت و فلسفۀ ایران</v>
      </c>
      <c r="D123" s="3" t="str">
        <v>Национальный статус; Руководство</v>
      </c>
      <c r="E123" s="7" t="str">
        <v>https://ipso.ir/%D8%AF%D8%B1%D8%A8%D8%A7%D8%B1%DB%80-%D8%A7%D9%86%D8%AC%D9%85%D9%86/</v>
      </c>
      <c r="F123" s="3" t="str">
        <v>Открыт; HTTP 200</v>
      </c>
      <c r="G123" s="6" t="n">
        <v>46300</v>
      </c>
      <c r="H123" s="3" t="str">
        <v>Переадресация не обнаружена</v>
      </c>
    </row>
    <row r="124" ht="48" customHeight="1">
      <c r="A124" s="8" t="n">
        <v>123</v>
      </c>
      <c r="B124" s="3" t="str">
        <v>Иран</v>
      </c>
      <c r="C124" s="3" t="str">
        <v>انجمن حکمت و فلسفۀ ایران</v>
      </c>
      <c r="D124" s="3" t="str">
        <v>Основной журнал; Институциональная связь журнала</v>
      </c>
      <c r="E124" s="7" t="str">
        <v>https://phm.znu.ac.ir/journal/about</v>
      </c>
      <c r="F124" s="3" t="str">
        <v>Открыт; HTTP 200</v>
      </c>
      <c r="G124" s="6" t="n">
        <v>46300</v>
      </c>
      <c r="H124" s="3" t="str">
        <v>Переадресация не обнаружена</v>
      </c>
    </row>
    <row r="125" ht="48" customHeight="1">
      <c r="A125" s="8" t="n">
        <v>124</v>
      </c>
      <c r="B125" s="3" t="str">
        <v>Иран</v>
      </c>
      <c r="C125" s="3" t="str">
        <v>انجمن حکمت و فلسفۀ ایران</v>
      </c>
      <c r="D125" s="3" t="str">
        <v>Telegram</v>
      </c>
      <c r="E125" s="7" t="str">
        <v>https://t.me/ipsoir</v>
      </c>
      <c r="F125" s="3" t="str">
        <v>Открыт; HTTP 206</v>
      </c>
      <c r="G125" s="6" t="n">
        <v>46300</v>
      </c>
      <c r="H125" s="3" t="str">
        <v>Переадресация не обнаружена</v>
      </c>
    </row>
    <row r="126" ht="48" customHeight="1">
      <c r="A126" s="8" t="n">
        <v>125</v>
      </c>
      <c r="B126" s="3" t="str">
        <v>Иран</v>
      </c>
      <c r="C126" s="3" t="str">
        <v>انجمن حکمت و فلسفۀ ایران</v>
      </c>
      <c r="D126" s="3" t="str">
        <v>FISP: прямое национальное членство</v>
      </c>
      <c r="E126" s="7" t="str">
        <v>https://www.fisp.org/members/national-societies</v>
      </c>
      <c r="F126" s="3" t="str">
        <v>Открыт; HTTP 200</v>
      </c>
      <c r="G126" s="6" t="n">
        <v>46300</v>
      </c>
      <c r="H126" s="3" t="str">
        <v>Переадресация не обнаружена</v>
      </c>
    </row>
    <row r="127" ht="48" customHeight="1">
      <c r="A127" s="8" t="n">
        <v>126</v>
      </c>
      <c r="B127" s="3" t="str">
        <v>Ирландия</v>
      </c>
      <c r="C127" s="3" t="str">
        <v>Охват страны</v>
      </c>
      <c r="D127" s="3" t="str">
        <v>Проверенный источник для поиска</v>
      </c>
      <c r="E127" s="7" t="str">
        <v>https://www.irish-philosophical-society.ie/</v>
      </c>
      <c r="F127" s="3" t="str">
        <v>Открыт; HTTP 200</v>
      </c>
      <c r="G127" s="6" t="n">
        <v>46300</v>
      </c>
      <c r="H127" s="3" t="str">
        <v>Переадресация не обнаружена</v>
      </c>
    </row>
    <row r="128" ht="48" customHeight="1">
      <c r="A128" s="8" t="n">
        <v>127</v>
      </c>
      <c r="B128" s="3" t="str">
        <v>Ирландия</v>
      </c>
      <c r="C128" s="3" t="str">
        <v>Irish Philosophical Society / Cumann Fealsúnachta na hÉireann</v>
      </c>
      <c r="D128" s="3" t="str">
        <v>Facebook</v>
      </c>
      <c r="E128" s="7" t="str">
        <v>https://www.facebook.com/irishphilosophicalsociety</v>
      </c>
      <c r="F128" s="3" t="str">
        <v>Открыт; HTTP 200</v>
      </c>
      <c r="G128" s="6" t="n">
        <v>46300</v>
      </c>
      <c r="H128" s="3" t="str">
        <v>Переадресация не обнаружена</v>
      </c>
    </row>
    <row r="129" ht="48" customHeight="1">
      <c r="A129" s="8" t="n">
        <v>128</v>
      </c>
      <c r="B129" s="3" t="str">
        <v>Ирландия</v>
      </c>
      <c r="C129" s="3" t="str">
        <v>Irish Philosophical Society / Cumann Fealsúnachta na hÉireann</v>
      </c>
      <c r="D129" s="3" t="str">
        <v>FISP: прямое национальное членство</v>
      </c>
      <c r="E129" s="7" t="str">
        <v>https://www.fisp.org/members/national-societies</v>
      </c>
      <c r="F129" s="3" t="str">
        <v>Открыт; HTTP 200</v>
      </c>
      <c r="G129" s="6" t="n">
        <v>46300</v>
      </c>
      <c r="H129" s="3" t="str">
        <v>Переадресация не обнаружена</v>
      </c>
    </row>
    <row r="130" ht="48" customHeight="1">
      <c r="A130" s="8" t="n">
        <v>129</v>
      </c>
      <c r="B130" s="3" t="str">
        <v>Ирландия</v>
      </c>
      <c r="C130" s="3" t="str">
        <v>Irish Philosophical Society / Cumann Fealsúnachta na hÉireann</v>
      </c>
      <c r="D130" s="3" t="str">
        <v>Официальный сайт; Национальный статус; Подтверждение официальных социальных сетей</v>
      </c>
      <c r="E130" s="7" t="str">
        <v>https://www.irish-philosophical-society.ie/</v>
      </c>
      <c r="F130" s="3" t="str">
        <v>Открыт; HTTP 200</v>
      </c>
      <c r="G130" s="6" t="n">
        <v>46300</v>
      </c>
      <c r="H130" s="3" t="str">
        <v>Переадресация не обнаружена</v>
      </c>
    </row>
    <row r="131" ht="48" customHeight="1">
      <c r="A131" s="8" t="n">
        <v>130</v>
      </c>
      <c r="B131" s="3" t="str">
        <v>Ирландия</v>
      </c>
      <c r="C131" s="3" t="str">
        <v>Irish Philosophical Society / Cumann Fealsúnachta na hÉireann</v>
      </c>
      <c r="D131" s="3" t="str">
        <v>Руководство</v>
      </c>
      <c r="E131" s="7" t="str">
        <v>https://www.irish-philosophical-society.ie/who/</v>
      </c>
      <c r="F131" s="3" t="str">
        <v>Открыт; HTTP 200</v>
      </c>
      <c r="G131" s="6" t="n">
        <v>46300</v>
      </c>
      <c r="H131" s="3" t="str">
        <v>Переадресация не обнаружена</v>
      </c>
    </row>
    <row r="132" ht="48" customHeight="1">
      <c r="A132" s="8" t="n">
        <v>131</v>
      </c>
      <c r="B132" s="3" t="str">
        <v>Ирландия</v>
      </c>
      <c r="C132" s="3" t="str">
        <v>Irish Philosophical Society / Cumann Fealsúnachta na hÉireann</v>
      </c>
      <c r="D132" s="3" t="str">
        <v>Основной журнал</v>
      </c>
      <c r="E132" s="7" t="str">
        <v>https://www.irish-philosophical-society.ie/yearbook/</v>
      </c>
      <c r="F132" s="3" t="str">
        <v>Открыт; HTTP 200</v>
      </c>
      <c r="G132" s="6" t="n">
        <v>46300</v>
      </c>
      <c r="H132" s="3" t="str">
        <v>Переадресация не обнаружена</v>
      </c>
    </row>
    <row r="133" ht="48" customHeight="1">
      <c r="A133" s="8" t="n">
        <v>132</v>
      </c>
      <c r="B133" s="3" t="str">
        <v>Ирландия</v>
      </c>
      <c r="C133" s="3" t="str">
        <v>Irish Philosophical Society / Cumann Fealsúnachta na hÉireann</v>
      </c>
      <c r="D133" s="3" t="str">
        <v>LinkedIn</v>
      </c>
      <c r="E133" s="7" t="str">
        <v>https://www.linkedin.com/company/irish-philosophical-society</v>
      </c>
      <c r="F133" s="3" t="str">
        <v>Открыт; HTTP 200</v>
      </c>
      <c r="G133" s="6" t="n">
        <v>46300</v>
      </c>
      <c r="H133" s="3" t="str">
        <v>Переадресация не обнаружена</v>
      </c>
    </row>
    <row r="134" ht="48" customHeight="1">
      <c r="A134" s="8" t="n">
        <v>133</v>
      </c>
      <c r="B134" s="3" t="str">
        <v>Ирландия</v>
      </c>
      <c r="C134" s="3" t="str">
        <v>Irish Philosophical Society / Cumann Fealsúnachta na hÉireann</v>
      </c>
      <c r="D134" s="3" t="str">
        <v>X / Twitter</v>
      </c>
      <c r="E134" s="7" t="str">
        <v>https://x.com/irish_philos</v>
      </c>
      <c r="F134" s="3" t="str">
        <v>Открыт; HTTP 200</v>
      </c>
      <c r="G134" s="6" t="n">
        <v>46300</v>
      </c>
      <c r="H134" s="3" t="str">
        <v>Переадресация не обнаружена</v>
      </c>
    </row>
    <row r="135" ht="48" customHeight="1">
      <c r="A135" s="8" t="n">
        <v>134</v>
      </c>
      <c r="B135" s="3" t="str">
        <v>Исландия</v>
      </c>
      <c r="C135" s="3" t="str">
        <v>Охват страны</v>
      </c>
      <c r="D135" s="3" t="str">
        <v>Проверенный источник для поиска</v>
      </c>
      <c r="E135" s="7" t="str">
        <v>https://heimspeki.hi.is/fah-hugur/</v>
      </c>
      <c r="F135" s="3" t="str">
        <v>Открыт; HTTP 200</v>
      </c>
      <c r="G135" s="6" t="n">
        <v>46300</v>
      </c>
      <c r="H135" s="3" t="str">
        <v>Переадресация не обнаружена</v>
      </c>
    </row>
    <row r="136" ht="48" customHeight="1">
      <c r="A136" s="8" t="n">
        <v>135</v>
      </c>
      <c r="B136" s="3" t="str">
        <v>Исландия</v>
      </c>
      <c r="C136" s="3" t="str">
        <v>Félag áhugamanna um heimspeki</v>
      </c>
      <c r="D136" s="3" t="str">
        <v>Facebook</v>
      </c>
      <c r="E136" s="7" t="str">
        <v>http://www.facebook.com/pages/Felag-ahugamanna-um-heimspeki/152004208166986</v>
      </c>
      <c r="F136" s="3" t="str">
        <v>Открыт; HTTP 200</v>
      </c>
      <c r="G136" s="6" t="n">
        <v>46300</v>
      </c>
      <c r="H136" s="7" t="str">
        <v>https://www.facebook.com/FAHisland/</v>
      </c>
    </row>
    <row r="137" ht="48" customHeight="1">
      <c r="A137" s="8" t="n">
        <v>136</v>
      </c>
      <c r="B137" s="3" t="str">
        <v>Исландия</v>
      </c>
      <c r="C137" s="3" t="str">
        <v>Félag áhugamanna um heimspeki</v>
      </c>
      <c r="D137" s="3" t="str">
        <v>Официальный сайт; Национальный статус; Руководство; Основной журнал; Подтверждение официальных социальных сетей</v>
      </c>
      <c r="E137" s="7" t="str">
        <v>https://heimspeki.hi.is/fah-hugur/</v>
      </c>
      <c r="F137" s="3" t="str">
        <v>Открыт; HTTP 200</v>
      </c>
      <c r="G137" s="6" t="n">
        <v>46300</v>
      </c>
      <c r="H137" s="3" t="str">
        <v>Переадресация не обнаружена</v>
      </c>
    </row>
    <row r="138" ht="48" customHeight="1">
      <c r="A138" s="8" t="n">
        <v>137</v>
      </c>
      <c r="B138" s="3" t="str">
        <v>Исландия</v>
      </c>
      <c r="C138" s="3" t="str">
        <v>Félag áhugamanna um heimspeki</v>
      </c>
      <c r="D138" s="3" t="str">
        <v>FISP: прямое национальное членство</v>
      </c>
      <c r="E138" s="7" t="str">
        <v>https://www.fisp.org/members/national-societies</v>
      </c>
      <c r="F138" s="3" t="str">
        <v>Открыт; HTTP 200</v>
      </c>
      <c r="G138" s="6" t="n">
        <v>46300</v>
      </c>
      <c r="H138" s="3" t="str">
        <v>Переадресация не обнаружена</v>
      </c>
    </row>
    <row r="139" ht="48" customHeight="1">
      <c r="A139" s="8" t="n">
        <v>138</v>
      </c>
      <c r="B139" s="3" t="str">
        <v>Испания</v>
      </c>
      <c r="C139" s="3" t="str">
        <v>Охват страны</v>
      </c>
      <c r="D139" s="3" t="str">
        <v>Проверенный источник для поиска</v>
      </c>
      <c r="E139" s="7" t="str">
        <v>https://www.fisp.org/members/national-societies</v>
      </c>
      <c r="F139" s="3" t="str">
        <v>Открыт; HTTP 200</v>
      </c>
      <c r="G139" s="6" t="n">
        <v>46300</v>
      </c>
      <c r="H139" s="3" t="str">
        <v>Переадресация не обнаружена</v>
      </c>
    </row>
    <row r="140" ht="48" customHeight="1">
      <c r="A140" s="8" t="n">
        <v>139</v>
      </c>
      <c r="B140" s="3" t="str">
        <v>Испания</v>
      </c>
      <c r="C140" s="3" t="str">
        <v>Red Española de Filosofía</v>
      </c>
      <c r="D140" s="3" t="str">
        <v>Официальный сайт; Подтверждение официальных социальных сетей</v>
      </c>
      <c r="E140" s="7" t="str">
        <v>https://redfilosofia.es/</v>
      </c>
      <c r="F140" s="3" t="str">
        <v>Открыт; HTTP 200</v>
      </c>
      <c r="G140" s="6" t="n">
        <v>46300</v>
      </c>
      <c r="H140" s="3" t="str">
        <v>Переадресация не обнаружена</v>
      </c>
    </row>
    <row r="141" ht="48" customHeight="1">
      <c r="A141" s="8" t="n">
        <v>140</v>
      </c>
      <c r="B141" s="3" t="str">
        <v>Испания</v>
      </c>
      <c r="C141" s="3" t="str">
        <v>Red Española de Filosofía</v>
      </c>
      <c r="D141" s="3" t="str">
        <v>Национальный статус; FISP: прямое национальное членство</v>
      </c>
      <c r="E141" s="7" t="str">
        <v>https://www.fisp.org/members/national-societies</v>
      </c>
      <c r="F141" s="3" t="str">
        <v>Открыт; HTTP 200</v>
      </c>
      <c r="G141" s="6" t="n">
        <v>46300</v>
      </c>
      <c r="H141" s="3" t="str">
        <v>Переадресация не обнаружена</v>
      </c>
    </row>
    <row r="142" ht="48" customHeight="1">
      <c r="A142" s="8" t="n">
        <v>141</v>
      </c>
      <c r="B142" s="3" t="str">
        <v>Испания</v>
      </c>
      <c r="C142" s="3" t="str">
        <v>Sociedad Académica de Filosofía</v>
      </c>
      <c r="D142" s="3" t="str">
        <v>Официальный сайт; Подтверждение официальных социальных сетей</v>
      </c>
      <c r="E142" s="7" t="str">
        <v>https://safil.es/</v>
      </c>
      <c r="F142" s="3" t="str">
        <v>Открыт; HTTP 200</v>
      </c>
      <c r="G142" s="6" t="n">
        <v>46300</v>
      </c>
      <c r="H142" s="3" t="str">
        <v>Переадресация не обнаружена</v>
      </c>
    </row>
    <row r="143" ht="48" customHeight="1">
      <c r="A143" s="8" t="n">
        <v>142</v>
      </c>
      <c r="B143" s="3" t="str">
        <v>Испания</v>
      </c>
      <c r="C143" s="3" t="str">
        <v>Sociedad Académica de Filosofía</v>
      </c>
      <c r="D143" s="3" t="str">
        <v>Руководство</v>
      </c>
      <c r="E143" s="7" t="str">
        <v>https://safil.es/standard-page-image</v>
      </c>
      <c r="F143" s="3" t="str">
        <v>Открыт; HTTP 200</v>
      </c>
      <c r="G143" s="6" t="n">
        <v>46300</v>
      </c>
      <c r="H143" s="3" t="str">
        <v>Переадресация не обнаружена</v>
      </c>
    </row>
    <row r="144" ht="48" customHeight="1">
      <c r="A144" s="8" t="n">
        <v>143</v>
      </c>
      <c r="B144" s="3" t="str">
        <v>Испания</v>
      </c>
      <c r="C144" s="3" t="str">
        <v>Sociedad Académica de Filosofía</v>
      </c>
      <c r="D144" s="3" t="str">
        <v>X / Twitter</v>
      </c>
      <c r="E144" s="7" t="str">
        <v>https://twitter.com/FilosofiaSAF</v>
      </c>
      <c r="F144" s="3" t="str">
        <v>Открыт; HTTP 200</v>
      </c>
      <c r="G144" s="6" t="n">
        <v>46300</v>
      </c>
      <c r="H144" s="7" t="str">
        <v>https://x.com/FilosofiaSAF</v>
      </c>
    </row>
    <row r="145" ht="48" customHeight="1">
      <c r="A145" s="8" t="n">
        <v>144</v>
      </c>
      <c r="B145" s="3" t="str">
        <v>Испания</v>
      </c>
      <c r="C145" s="3" t="str">
        <v>Sociedad Académica de Filosofía</v>
      </c>
      <c r="D145" s="3" t="str">
        <v>Facebook</v>
      </c>
      <c r="E145" s="7" t="str">
        <v>https://www.facebook.com/FilosofiaSAF</v>
      </c>
      <c r="F145" s="3" t="str">
        <v>Открыт; HTTP 200</v>
      </c>
      <c r="G145" s="6" t="n">
        <v>46300</v>
      </c>
      <c r="H145" s="3" t="str">
        <v>Переадресация не обнаружена</v>
      </c>
    </row>
    <row r="146" ht="48" customHeight="1">
      <c r="A146" s="8" t="n">
        <v>145</v>
      </c>
      <c r="B146" s="3" t="str">
        <v>Испания</v>
      </c>
      <c r="C146" s="3" t="str">
        <v>Sociedad Académica de Filosofía</v>
      </c>
      <c r="D146" s="3" t="str">
        <v>Национальный статус; FISP: прямое национальное членство</v>
      </c>
      <c r="E146" s="7" t="str">
        <v>https://www.fisp.org/members/national-societies</v>
      </c>
      <c r="F146" s="3" t="str">
        <v>Открыт; HTTP 200</v>
      </c>
      <c r="G146" s="6" t="n">
        <v>46300</v>
      </c>
      <c r="H146" s="3" t="str">
        <v>Переадресация не обнаружена</v>
      </c>
    </row>
    <row r="147" ht="48" customHeight="1">
      <c r="A147" s="8" t="n">
        <v>146</v>
      </c>
      <c r="B147" s="3" t="str">
        <v>Италия</v>
      </c>
      <c r="C147" s="3" t="str">
        <v>Охват страны</v>
      </c>
      <c r="D147" s="3" t="str">
        <v>Проверенный источник для поиска</v>
      </c>
      <c r="E147" s="7" t="str">
        <v>https://www.fisp.org/members/national-societies</v>
      </c>
      <c r="F147" s="3" t="str">
        <v>Открыт; HTTP 200</v>
      </c>
      <c r="G147" s="6" t="n">
        <v>46300</v>
      </c>
      <c r="H147" s="3" t="str">
        <v>Переадресация не обнаружена</v>
      </c>
    </row>
    <row r="148" ht="48" customHeight="1">
      <c r="A148" s="8" t="n">
        <v>147</v>
      </c>
      <c r="B148" s="3" t="str">
        <v>Италия</v>
      </c>
      <c r="C148" s="3" t="str">
        <v>Охват страны</v>
      </c>
      <c r="D148" s="3" t="str">
        <v>Проверенный источник для поиска</v>
      </c>
      <c r="E148" s="7" t="str">
        <v>https://www.sfi.it/246/sfi.html</v>
      </c>
      <c r="F148" s="3" t="str">
        <v>Открыт; HTTP 200</v>
      </c>
      <c r="G148" s="6" t="n">
        <v>46300</v>
      </c>
      <c r="H148" s="3" t="str">
        <v>Переадресация не обнаружена</v>
      </c>
    </row>
    <row r="149" ht="48" customHeight="1">
      <c r="A149" s="8" t="n">
        <v>148</v>
      </c>
      <c r="B149" s="3" t="str">
        <v>Италия</v>
      </c>
      <c r="C149" s="3" t="str">
        <v>Consulta Nazionale di Filosofia</v>
      </c>
      <c r="D149" s="3" t="str">
        <v>Официальный сайт</v>
      </c>
      <c r="E149" s="7" t="str">
        <v>https://www.consultanazionalefilosofia.it/</v>
      </c>
      <c r="F149" s="3" t="str">
        <v>Открыт; HTTP 200</v>
      </c>
      <c r="G149" s="6" t="n">
        <v>46300</v>
      </c>
      <c r="H149" s="3" t="str">
        <v>Переадресация не обнаружена</v>
      </c>
    </row>
    <row r="150" ht="48" customHeight="1">
      <c r="A150" s="8" t="n">
        <v>149</v>
      </c>
      <c r="B150" s="3" t="str">
        <v>Италия</v>
      </c>
      <c r="C150" s="3" t="str">
        <v>Consulta Nazionale di Filosofia</v>
      </c>
      <c r="D150" s="3" t="str">
        <v>Национальный статус; FISP: прямое национальное членство</v>
      </c>
      <c r="E150" s="7" t="str">
        <v>https://www.fisp.org/members/national-societies</v>
      </c>
      <c r="F150" s="3" t="str">
        <v>Открыт; HTTP 200</v>
      </c>
      <c r="G150" s="6" t="n">
        <v>46300</v>
      </c>
      <c r="H150" s="3" t="str">
        <v>Переадресация не обнаружена</v>
      </c>
    </row>
    <row r="151" ht="48" customHeight="1">
      <c r="A151" s="8" t="n">
        <v>150</v>
      </c>
      <c r="B151" s="3" t="str">
        <v>Италия</v>
      </c>
      <c r="C151" s="3" t="str">
        <v>Società Filosofica Italiana</v>
      </c>
      <c r="D151" s="3" t="str">
        <v>FISP: прямое национальное членство</v>
      </c>
      <c r="E151" s="7" t="str">
        <v>https://www.fisp.org/members/national-societies</v>
      </c>
      <c r="F151" s="3" t="str">
        <v>Открыт; HTTP 200</v>
      </c>
      <c r="G151" s="6" t="n">
        <v>46300</v>
      </c>
      <c r="H151" s="3" t="str">
        <v>Переадресация не обнаружена</v>
      </c>
    </row>
    <row r="152" ht="48" customHeight="1">
      <c r="A152" s="8" t="n">
        <v>151</v>
      </c>
      <c r="B152" s="3" t="str">
        <v>Италия</v>
      </c>
      <c r="C152" s="3" t="str">
        <v>Società Filosofica Italiana</v>
      </c>
      <c r="D152" s="3" t="str">
        <v>Официальный сайт</v>
      </c>
      <c r="E152" s="7" t="str">
        <v>https://www.sfi.it/</v>
      </c>
      <c r="F152" s="3" t="str">
        <v>Открыт; HTTP 200</v>
      </c>
      <c r="G152" s="6" t="n">
        <v>46300</v>
      </c>
      <c r="H152" s="3" t="str">
        <v>Переадресация не обнаружена</v>
      </c>
    </row>
    <row r="153" ht="48" customHeight="1">
      <c r="A153" s="8" t="n">
        <v>152</v>
      </c>
      <c r="B153" s="3" t="str">
        <v>Италия</v>
      </c>
      <c r="C153" s="3" t="str">
        <v>Società Filosofica Italiana</v>
      </c>
      <c r="D153" s="3" t="str">
        <v>Национальный статус</v>
      </c>
      <c r="E153" s="7" t="str">
        <v>https://www.sfi.it/246/sfi.html</v>
      </c>
      <c r="F153" s="3" t="str">
        <v>Открыт; HTTP 200</v>
      </c>
      <c r="G153" s="6" t="n">
        <v>46300</v>
      </c>
      <c r="H153" s="3" t="str">
        <v>Переадресация не обнаружена</v>
      </c>
    </row>
    <row r="154" ht="48" customHeight="1">
      <c r="A154" s="8" t="n">
        <v>153</v>
      </c>
      <c r="B154" s="3" t="str">
        <v>Италия</v>
      </c>
      <c r="C154" s="3" t="str">
        <v>Società Filosofica Italiana</v>
      </c>
      <c r="D154" s="3" t="str">
        <v>Основной журнал</v>
      </c>
      <c r="E154" s="7" t="str">
        <v>https://www.sfi.it/258/bollettino.html</v>
      </c>
      <c r="F154" s="3" t="str">
        <v>Открыт; HTTP 200</v>
      </c>
      <c r="G154" s="6" t="n">
        <v>46300</v>
      </c>
      <c r="H154" s="3" t="str">
        <v>Переадресация не обнаружена</v>
      </c>
    </row>
    <row r="155" ht="48" customHeight="1">
      <c r="A155" s="8" t="n">
        <v>154</v>
      </c>
      <c r="B155" s="3" t="str">
        <v>Италия</v>
      </c>
      <c r="C155" s="3" t="str">
        <v>Società Filosofica Italiana</v>
      </c>
      <c r="D155" s="3" t="str">
        <v>Дополнительный журнал</v>
      </c>
      <c r="E155" s="7" t="str">
        <v>https://www.sfi.it/259/comunicazione-filosofica.html</v>
      </c>
      <c r="F155" s="3" t="str">
        <v>Открыт; HTTP 200</v>
      </c>
      <c r="G155" s="6" t="n">
        <v>46300</v>
      </c>
      <c r="H155" s="3" t="str">
        <v>Переадресация не обнаружена</v>
      </c>
    </row>
    <row r="156" ht="48" customHeight="1">
      <c r="A156" s="8" t="n">
        <v>155</v>
      </c>
      <c r="B156" s="3" t="str">
        <v>Италия</v>
      </c>
      <c r="C156" s="3" t="str">
        <v>Società Filosofica Italiana</v>
      </c>
      <c r="D156" s="3" t="str">
        <v>Руководство</v>
      </c>
      <c r="E156" s="7" t="str">
        <v>https://www.sfi.it/files/download/2026/Brochure%20Convegno%20SFI%20Perugia%20%281%29.pdf</v>
      </c>
      <c r="F156" s="3" t="str">
        <v>Открыт; HTTP 206</v>
      </c>
      <c r="G156" s="6" t="n">
        <v>46300</v>
      </c>
      <c r="H156" s="3" t="str">
        <v>Переадресация не обнаружена</v>
      </c>
    </row>
    <row r="157" ht="48" customHeight="1">
      <c r="A157" s="8" t="n">
        <v>156</v>
      </c>
      <c r="B157" s="3" t="str">
        <v>Казахстан</v>
      </c>
      <c r="C157" s="3" t="str">
        <v>Қазақстандық философиялық конгресс</v>
      </c>
      <c r="D157" s="3" t="str">
        <v>Дополнительное подтверждение</v>
      </c>
      <c r="E157" s="7" t="str">
        <v>https://adamalemijournal.com/</v>
      </c>
      <c r="F157" s="3" t="str">
        <v>Открыт; HTTP 200</v>
      </c>
      <c r="G157" s="6" t="n">
        <v>46300</v>
      </c>
      <c r="H157" s="7" t="str">
        <v>https://adamalemijournal.com/index.php/aa</v>
      </c>
    </row>
    <row r="158" ht="48" customHeight="1">
      <c r="A158" s="8" t="n">
        <v>157</v>
      </c>
      <c r="B158" s="3" t="str">
        <v>Казахстан</v>
      </c>
      <c r="C158" s="3" t="str">
        <v>Қазақстандық философиялық конгресс</v>
      </c>
      <c r="D158" s="3" t="str">
        <v>Национальный статус</v>
      </c>
      <c r="E158" s="7" t="str">
        <v>https://al-farabi.kaznu.kz/?lang=kz&amp;page_id=2698</v>
      </c>
      <c r="F158" s="3" t="str">
        <v>Открыт; HTTP 200</v>
      </c>
      <c r="G158" s="6" t="n">
        <v>46300</v>
      </c>
      <c r="H158" s="7" t="str">
        <v>https://al-farabi.kaznu.kz/?page_id=2698&amp;lang=kz</v>
      </c>
    </row>
    <row r="159" ht="48" customHeight="1">
      <c r="A159" s="8" t="n">
        <v>158</v>
      </c>
      <c r="B159" s="3" t="str">
        <v>Казахстан</v>
      </c>
      <c r="C159" s="3" t="str">
        <v>Қазақстандық философиялық конгресс</v>
      </c>
      <c r="D159" s="3" t="str">
        <v>Дополнительное подтверждение</v>
      </c>
      <c r="E159" s="7" t="str">
        <v>https://iph.kz/events/otchet-po-itogam-komandirovki-v-moskvu/</v>
      </c>
      <c r="F159" s="3" t="str">
        <v>Открыт; HTTP 200</v>
      </c>
      <c r="G159" s="6" t="n">
        <v>46300</v>
      </c>
      <c r="H159" s="3" t="str">
        <v>Переадресация не обнаружена</v>
      </c>
    </row>
    <row r="160" ht="48" customHeight="1">
      <c r="A160" s="8" t="n">
        <v>159</v>
      </c>
      <c r="B160" s="3" t="str">
        <v>Казахстан</v>
      </c>
      <c r="C160" s="3" t="str">
        <v>Қазақстандық философиялық конгресс</v>
      </c>
      <c r="D160" s="3" t="str">
        <v>Дополнительное подтверждение</v>
      </c>
      <c r="E160" s="7" t="str">
        <v>https://iph.kz/ru/izdaniya/</v>
      </c>
      <c r="F160" s="3" t="str">
        <v>Открыт; HTTP 200</v>
      </c>
      <c r="G160" s="6" t="n">
        <v>46300</v>
      </c>
      <c r="H160" s="3" t="str">
        <v>Переадресация не обнаружена</v>
      </c>
    </row>
    <row r="161" ht="48" customHeight="1">
      <c r="A161" s="8" t="n">
        <v>160</v>
      </c>
      <c r="B161" s="3" t="str">
        <v>Казахстан</v>
      </c>
      <c r="C161" s="3" t="str">
        <v>Қазақстандық философиялық конгресс</v>
      </c>
      <c r="D161" s="3" t="str">
        <v>Руководство: архивный или неполный источник, требуется актуальное подтверждение</v>
      </c>
      <c r="E161" s="7" t="str">
        <v>https://iphras.ru/page20845806.htm</v>
      </c>
      <c r="F161" s="3" t="str">
        <v>Открыт; HTTP 200</v>
      </c>
      <c r="G161" s="6" t="n">
        <v>46300</v>
      </c>
      <c r="H161" s="3" t="str">
        <v>Переадресация не обнаружена</v>
      </c>
    </row>
    <row r="162" ht="48" customHeight="1">
      <c r="A162" s="8" t="n">
        <v>161</v>
      </c>
      <c r="B162" s="3" t="str">
        <v>Казахстан</v>
      </c>
      <c r="C162" s="3" t="str">
        <v>Қазақстандық философиялық конгресс</v>
      </c>
      <c r="D162" s="3" t="str">
        <v>Дополнительное подтверждение; FISP: прямое национальное членство</v>
      </c>
      <c r="E162" s="7" t="str">
        <v>https://www.fisp.org/members/national-societies</v>
      </c>
      <c r="F162" s="3" t="str">
        <v>Открыт; HTTP 200</v>
      </c>
      <c r="G162" s="6" t="n">
        <v>46300</v>
      </c>
      <c r="H162" s="3" t="str">
        <v>Переадресация не обнаружена</v>
      </c>
    </row>
    <row r="163" ht="48" customHeight="1">
      <c r="A163" s="8" t="n">
        <v>162</v>
      </c>
      <c r="B163" s="3" t="str">
        <v>Казахстан</v>
      </c>
      <c r="C163" s="3" t="str">
        <v>Охват страны</v>
      </c>
      <c r="D163" s="3" t="str">
        <v>Проверенный источник для поиска</v>
      </c>
      <c r="E163" s="7" t="str">
        <v>https://www.fisp.org/members/national-societies</v>
      </c>
      <c r="F163" s="3" t="str">
        <v>Открыт; HTTP 200</v>
      </c>
      <c r="G163" s="6" t="n">
        <v>46300</v>
      </c>
      <c r="H163" s="3" t="str">
        <v>Переадресация не обнаружена</v>
      </c>
    </row>
    <row r="164" ht="48" customHeight="1">
      <c r="A164" s="8" t="n">
        <v>163</v>
      </c>
      <c r="B164" s="3" t="str">
        <v>Камерун</v>
      </c>
      <c r="C164" s="3" t="str">
        <v>Охват страны</v>
      </c>
      <c r="D164" s="3" t="str">
        <v>Проверенный источник для поиска</v>
      </c>
      <c r="E164" s="7" t="str">
        <v>https://www.editions-harmattan.fr/catalogue/livre/la-reinvention-de-luniversel/81915</v>
      </c>
      <c r="F164" s="3" t="str">
        <v>Автоматический доступ ограничен; HTTP 403</v>
      </c>
      <c r="G164" s="6" t="n">
        <v>46300</v>
      </c>
      <c r="H164" s="3" t="str">
        <v>Переадресация не обнаружена</v>
      </c>
    </row>
    <row r="165" ht="48" customHeight="1">
      <c r="A165" s="8" t="n">
        <v>164</v>
      </c>
      <c r="B165" s="3" t="str">
        <v>Камерун</v>
      </c>
      <c r="C165" s="3" t="str">
        <v>Société camerounaise d’études philosophiques</v>
      </c>
      <c r="D165" s="3" t="str">
        <v>Национальный статус</v>
      </c>
      <c r="E165" s="7" t="str">
        <v>https://www.editions-harmattan.fr/catalogue/livre/la-reinvention-de-luniversel/81915</v>
      </c>
      <c r="F165" s="3" t="str">
        <v>Автоматический доступ ограничен; HTTP 403</v>
      </c>
      <c r="G165" s="6" t="n">
        <v>46300</v>
      </c>
      <c r="H165" s="3" t="str">
        <v>Переадресация не обнаружена</v>
      </c>
    </row>
    <row r="166" ht="48" customHeight="1">
      <c r="A166" s="8" t="n">
        <v>165</v>
      </c>
      <c r="B166" s="3" t="str">
        <v>Канада</v>
      </c>
      <c r="C166" s="3" t="str">
        <v>Охват страны</v>
      </c>
      <c r="D166" s="3" t="str">
        <v>Проверенный источник для поиска</v>
      </c>
      <c r="E166" s="7" t="str">
        <v>https://www.acpcpa.ca/cpages/home-page</v>
      </c>
      <c r="F166" s="3" t="str">
        <v>Открыт; HTTP 200</v>
      </c>
      <c r="G166" s="6" t="n">
        <v>46300</v>
      </c>
      <c r="H166" s="3" t="str">
        <v>Переадресация не обнаружена</v>
      </c>
    </row>
    <row r="167" ht="48" customHeight="1">
      <c r="A167" s="8" t="n">
        <v>166</v>
      </c>
      <c r="B167" s="3" t="str">
        <v>Канада</v>
      </c>
      <c r="C167" s="3" t="str">
        <v>Canadian Philosophical Association / Association canadienne de philosophie</v>
      </c>
      <c r="D167" s="3" t="str">
        <v>LinkedIn</v>
      </c>
      <c r="E167" s="7" t="str">
        <v>https://linkedin.com/company/the-canadian-philosophical-association-l-association-canadienne-de-philosophie</v>
      </c>
      <c r="F167" s="3" t="str">
        <v>Открыт; HTTP 200</v>
      </c>
      <c r="G167" s="6" t="n">
        <v>46300</v>
      </c>
      <c r="H167" s="3" t="str">
        <v>Переадресация не обнаружена</v>
      </c>
    </row>
    <row r="168" ht="48" customHeight="1">
      <c r="A168" s="8" t="n">
        <v>167</v>
      </c>
      <c r="B168" s="3" t="str">
        <v>Канада</v>
      </c>
      <c r="C168" s="3" t="str">
        <v>Canadian Philosophical Association / Association canadienne de philosophie</v>
      </c>
      <c r="D168" s="3" t="str">
        <v>Официальный сайт; Подтверждение официальных социальных сетей</v>
      </c>
      <c r="E168" s="7" t="str">
        <v>https://www.acpcpa.ca/</v>
      </c>
      <c r="F168" s="3" t="str">
        <v>Открыт; HTTP 200</v>
      </c>
      <c r="G168" s="6" t="n">
        <v>46300</v>
      </c>
      <c r="H168" s="7" t="str">
        <v>https://www.acpcpa.ca:443/cpages/home-page</v>
      </c>
    </row>
    <row r="169" ht="48" customHeight="1">
      <c r="A169" s="8" t="n">
        <v>168</v>
      </c>
      <c r="B169" s="3" t="str">
        <v>Канада</v>
      </c>
      <c r="C169" s="3" t="str">
        <v>Canadian Philosophical Association / Association canadienne de philosophie</v>
      </c>
      <c r="D169" s="3" t="str">
        <v>Основной журнал</v>
      </c>
      <c r="E169" s="7" t="str">
        <v>https://www.acpcpa.ca/cpages/dialogue-home-1</v>
      </c>
      <c r="F169" s="3" t="str">
        <v>Открыт; HTTP 200</v>
      </c>
      <c r="G169" s="6" t="n">
        <v>46300</v>
      </c>
      <c r="H169" s="3" t="str">
        <v>Переадресация не обнаружена</v>
      </c>
    </row>
    <row r="170" ht="48" customHeight="1">
      <c r="A170" s="8" t="n">
        <v>169</v>
      </c>
      <c r="B170" s="3" t="str">
        <v>Канада</v>
      </c>
      <c r="C170" s="3" t="str">
        <v>Canadian Philosophical Association / Association canadienne de philosophie</v>
      </c>
      <c r="D170" s="3" t="str">
        <v>Национальный статус</v>
      </c>
      <c r="E170" s="7" t="str">
        <v>https://www.acpcpa.ca/cpages/home-page</v>
      </c>
      <c r="F170" s="3" t="str">
        <v>Открыт; HTTP 200</v>
      </c>
      <c r="G170" s="6" t="n">
        <v>46300</v>
      </c>
      <c r="H170" s="3" t="str">
        <v>Переадресация не обнаружена</v>
      </c>
    </row>
    <row r="171" ht="48" customHeight="1">
      <c r="A171" s="8" t="n">
        <v>170</v>
      </c>
      <c r="B171" s="3" t="str">
        <v>Канада</v>
      </c>
      <c r="C171" s="3" t="str">
        <v>Canadian Philosophical Association / Association canadienne de philosophie</v>
      </c>
      <c r="D171" s="3" t="str">
        <v>Руководство</v>
      </c>
      <c r="E171" s="7" t="str">
        <v>https://www.acpcpa.ca/team/CPA-Executive-Committee</v>
      </c>
      <c r="F171" s="3" t="str">
        <v>Открыт; HTTP 200</v>
      </c>
      <c r="G171" s="6" t="n">
        <v>46300</v>
      </c>
      <c r="H171" s="3" t="str">
        <v>Переадресация не обнаружена</v>
      </c>
    </row>
    <row r="172" ht="48" customHeight="1">
      <c r="A172" s="8" t="n">
        <v>171</v>
      </c>
      <c r="B172" s="3" t="str">
        <v>Канада</v>
      </c>
      <c r="C172" s="3" t="str">
        <v>Canadian Philosophical Association / Association canadienne de philosophie</v>
      </c>
      <c r="D172" s="3" t="str">
        <v>Facebook</v>
      </c>
      <c r="E172" s="7" t="str">
        <v>https://www.facebook.com/acpcpa.ca/</v>
      </c>
      <c r="F172" s="3" t="str">
        <v>Открыт; HTTP 200</v>
      </c>
      <c r="G172" s="6" t="n">
        <v>46300</v>
      </c>
      <c r="H172" s="3" t="str">
        <v>Переадресация не обнаружена</v>
      </c>
    </row>
    <row r="173" ht="48" customHeight="1">
      <c r="A173" s="8" t="n">
        <v>172</v>
      </c>
      <c r="B173" s="3" t="str">
        <v>Канада</v>
      </c>
      <c r="C173" s="3" t="str">
        <v>Canadian Philosophical Association / Association canadienne de philosophie</v>
      </c>
      <c r="D173" s="3" t="str">
        <v>FISP: прямое национальное членство</v>
      </c>
      <c r="E173" s="7" t="str">
        <v>https://www.fisp.org/members/national-societies</v>
      </c>
      <c r="F173" s="3" t="str">
        <v>Открыт; HTTP 200</v>
      </c>
      <c r="G173" s="6" t="n">
        <v>46300</v>
      </c>
      <c r="H173" s="3" t="str">
        <v>Переадресация не обнаружена</v>
      </c>
    </row>
    <row r="174" ht="48" customHeight="1">
      <c r="A174" s="8" t="n">
        <v>173</v>
      </c>
      <c r="B174" s="3" t="str">
        <v>Канада</v>
      </c>
      <c r="C174" s="3" t="str">
        <v>Canadian Philosophical Association / Association canadienne de philosophie</v>
      </c>
      <c r="D174" s="3" t="str">
        <v>YouTube</v>
      </c>
      <c r="E174" s="7" t="str">
        <v>https://www.youtube.com/channel/UC1f8HrYA3GBP5lALz1myq7g</v>
      </c>
      <c r="F174" s="3" t="str">
        <v>Автоматический доступ ограничен; HTTP 429</v>
      </c>
      <c r="G174" s="6" t="n">
        <v>46300</v>
      </c>
      <c r="H174" s="7" t="str">
        <v>https://www.google.com/sorry/index?continue=https://www.youtube.com/channel/UC1f8HrYA3GBP5lALz1myq7g&amp;q=EhAqE5UAAeQARQAAAAACLQCVGIGxjtYGIjCgp4CV4TbLoEMKHwJtHINwLzDjsGonObqdsykNy86_u1x0VraGDuD0ehmzzG-egqkyAnJSWgFD</v>
      </c>
    </row>
    <row r="175" ht="48" customHeight="1">
      <c r="A175" s="8" t="n">
        <v>174</v>
      </c>
      <c r="B175" s="3" t="str">
        <v>Кения</v>
      </c>
      <c r="C175" s="3" t="str">
        <v>Охват страны</v>
      </c>
      <c r="D175" s="3" t="str">
        <v>Проверенный источник для поиска</v>
      </c>
      <c r="E175" s="7" t="str">
        <v>https://philosophy.uonbi.ac.ke/node/165</v>
      </c>
      <c r="F175" s="3" t="str">
        <v>При проверке не открылся; HTTP 502</v>
      </c>
      <c r="G175" s="6" t="n">
        <v>46300</v>
      </c>
      <c r="H175" s="3" t="str">
        <v>Переадресация не обнаружена</v>
      </c>
    </row>
    <row r="176" ht="48" customHeight="1">
      <c r="A176" s="8" t="n">
        <v>175</v>
      </c>
      <c r="B176" s="3" t="str">
        <v>Кения</v>
      </c>
      <c r="C176" s="3" t="str">
        <v>Philosophical Association of Kenya</v>
      </c>
      <c r="D176" s="3" t="str">
        <v>Национальный статус</v>
      </c>
      <c r="E176" s="7" t="str">
        <v>https://philosophy.uonbi.ac.ke/node/165</v>
      </c>
      <c r="F176" s="3" t="str">
        <v>При проверке не открылся; HTTP 502</v>
      </c>
      <c r="G176" s="6" t="n">
        <v>46300</v>
      </c>
      <c r="H176" s="3" t="str">
        <v>Переадресация не обнаружена</v>
      </c>
    </row>
    <row r="177" ht="48" customHeight="1">
      <c r="A177" s="8" t="n">
        <v>176</v>
      </c>
      <c r="B177" s="3" t="str">
        <v>Кения</v>
      </c>
      <c r="C177" s="3" t="str">
        <v>Philosophical Association of Kenya</v>
      </c>
      <c r="D177" s="3" t="str">
        <v>Основной журнал</v>
      </c>
      <c r="E177" s="7" t="str">
        <v>https://www.ajol.info/index.php/tp</v>
      </c>
      <c r="F177" s="3" t="str">
        <v>Автоматический доступ ограничен; HTTP 403</v>
      </c>
      <c r="G177" s="6" t="n">
        <v>46300</v>
      </c>
      <c r="H177" s="3" t="str">
        <v>Переадресация не обнаружена</v>
      </c>
    </row>
    <row r="178" ht="48" customHeight="1">
      <c r="A178" s="8" t="n">
        <v>177</v>
      </c>
      <c r="B178" s="3" t="str">
        <v>Колумбия</v>
      </c>
      <c r="C178" s="3" t="str">
        <v>Охват страны</v>
      </c>
      <c r="D178" s="3" t="str">
        <v>Проверенный источник для поиска</v>
      </c>
      <c r="E178" s="7" t="str">
        <v>https://www.socolfil.org/scf/presentacion</v>
      </c>
      <c r="F178" s="3" t="str">
        <v>Открыт; HTTP 200</v>
      </c>
      <c r="G178" s="6" t="n">
        <v>46300</v>
      </c>
      <c r="H178" s="3" t="str">
        <v>Переадресация не обнаружена</v>
      </c>
    </row>
    <row r="179" ht="48" customHeight="1">
      <c r="A179" s="8" t="n">
        <v>178</v>
      </c>
      <c r="B179" s="3" t="str">
        <v>Колумбия</v>
      </c>
      <c r="C179" s="3" t="str">
        <v>Sociedad Colombiana de Filosofía</v>
      </c>
      <c r="D179" s="3" t="str">
        <v>X / Twitter</v>
      </c>
      <c r="E179" s="7" t="str">
        <v>https://twitter.com/socolfil</v>
      </c>
      <c r="F179" s="3" t="str">
        <v>Открыт; HTTP 200</v>
      </c>
      <c r="G179" s="6" t="n">
        <v>46300</v>
      </c>
      <c r="H179" s="7" t="str">
        <v>https://x.com/socolfil</v>
      </c>
    </row>
    <row r="180" ht="48" customHeight="1">
      <c r="A180" s="8" t="n">
        <v>179</v>
      </c>
      <c r="B180" s="3" t="str">
        <v>Колумбия</v>
      </c>
      <c r="C180" s="3" t="str">
        <v>Sociedad Colombiana de Filosofía</v>
      </c>
      <c r="D180" s="3" t="str">
        <v>Facebook</v>
      </c>
      <c r="E180" s="7" t="str">
        <v>https://www.facebook.com/socolfil.org</v>
      </c>
      <c r="F180" s="3" t="str">
        <v>Открыт; HTTP 200</v>
      </c>
      <c r="G180" s="6" t="n">
        <v>46300</v>
      </c>
      <c r="H180" s="3" t="str">
        <v>Переадресация не обнаружена</v>
      </c>
    </row>
    <row r="181" ht="48" customHeight="1">
      <c r="A181" s="8" t="n">
        <v>180</v>
      </c>
      <c r="B181" s="3" t="str">
        <v>Колумбия</v>
      </c>
      <c r="C181" s="3" t="str">
        <v>Sociedad Colombiana de Filosofía</v>
      </c>
      <c r="D181" s="3" t="str">
        <v>Официальный сайт; Подтверждение официальных социальных сетей</v>
      </c>
      <c r="E181" s="7" t="str">
        <v>https://www.socolfil.org/</v>
      </c>
      <c r="F181" s="3" t="str">
        <v>Открыт; HTTP 200</v>
      </c>
      <c r="G181" s="6" t="n">
        <v>46300</v>
      </c>
      <c r="H181" s="3" t="str">
        <v>Переадресация не обнаружена</v>
      </c>
    </row>
    <row r="182" ht="48" customHeight="1">
      <c r="A182" s="8" t="n">
        <v>181</v>
      </c>
      <c r="B182" s="3" t="str">
        <v>Колумбия</v>
      </c>
      <c r="C182" s="3" t="str">
        <v>Sociedad Colombiana de Filosofía</v>
      </c>
      <c r="D182" s="3" t="str">
        <v>Руководство</v>
      </c>
      <c r="E182" s="7" t="str">
        <v>https://www.socolfil.org/contacto/17-scf/junta-directiva-scf</v>
      </c>
      <c r="F182" s="3" t="str">
        <v>Открыт; HTTP 200</v>
      </c>
      <c r="G182" s="6" t="n">
        <v>46300</v>
      </c>
      <c r="H182" s="3" t="str">
        <v>Переадресация не обнаружена</v>
      </c>
    </row>
    <row r="183" ht="48" customHeight="1">
      <c r="A183" s="8" t="n">
        <v>182</v>
      </c>
      <c r="B183" s="3" t="str">
        <v>Колумбия</v>
      </c>
      <c r="C183" s="3" t="str">
        <v>Sociedad Colombiana de Filosofía</v>
      </c>
      <c r="D183" s="3" t="str">
        <v>Национальный статус</v>
      </c>
      <c r="E183" s="7" t="str">
        <v>https://www.socolfil.org/scf/presentacion</v>
      </c>
      <c r="F183" s="3" t="str">
        <v>Открыт; HTTP 200</v>
      </c>
      <c r="G183" s="6" t="n">
        <v>46300</v>
      </c>
      <c r="H183" s="3" t="str">
        <v>Переадресация не обнаружена</v>
      </c>
    </row>
    <row r="184" ht="48" customHeight="1">
      <c r="A184" s="8" t="n">
        <v>183</v>
      </c>
      <c r="B184" s="3" t="str">
        <v>Колумбия</v>
      </c>
      <c r="C184" s="3" t="str">
        <v>Sociedad Colombiana de Filosofía</v>
      </c>
      <c r="D184" s="3" t="str">
        <v>YouTube</v>
      </c>
      <c r="E184" s="7" t="str">
        <v>https://www.youtube.com/c/socolfilorg</v>
      </c>
      <c r="F184" s="3" t="str">
        <v>Открыт; HTTP 200</v>
      </c>
      <c r="G184" s="6" t="n">
        <v>46300</v>
      </c>
      <c r="H184" s="7" t="str">
        <v>https://www.youtube.com/c/socolfilorg?cbrd=1&amp;ucbcb=1</v>
      </c>
    </row>
    <row r="185" ht="48" customHeight="1">
      <c r="A185" s="8" t="n">
        <v>184</v>
      </c>
      <c r="B185" s="3" t="str">
        <v>Конго</v>
      </c>
      <c r="C185" s="3" t="str">
        <v>Охват страны</v>
      </c>
      <c r="D185" s="3" t="str">
        <v>Проверенный источник для поиска</v>
      </c>
      <c r="E185" s="7" t="str">
        <v>https://asplf.org/liste-des-societes/</v>
      </c>
      <c r="F185" s="3" t="str">
        <v>Открыт; HTTP 200</v>
      </c>
      <c r="G185" s="6" t="n">
        <v>46300</v>
      </c>
      <c r="H185" s="3" t="str">
        <v>Переадресация не обнаружена</v>
      </c>
    </row>
    <row r="186" ht="48" customHeight="1">
      <c r="A186" s="8" t="n">
        <v>185</v>
      </c>
      <c r="B186" s="3" t="str">
        <v>Конго</v>
      </c>
      <c r="C186" s="3" t="str">
        <v>Société Congolaise de Philosophie (Sophia)</v>
      </c>
      <c r="D186" s="3" t="str">
        <v>Национальный статус</v>
      </c>
      <c r="E186" s="7" t="str">
        <v>https://asplf.org/liste-des-societes/</v>
      </c>
      <c r="F186" s="3" t="str">
        <v>Открыт; HTTP 200</v>
      </c>
      <c r="G186" s="6" t="n">
        <v>46300</v>
      </c>
      <c r="H186" s="3" t="str">
        <v>Переадресация не обнаружена</v>
      </c>
    </row>
    <row r="187" ht="48" customHeight="1">
      <c r="A187" s="8" t="n">
        <v>186</v>
      </c>
      <c r="B187" s="3" t="str">
        <v>Косово</v>
      </c>
      <c r="C187" s="3" t="str">
        <v>Shoqata e Filozofëve të Kosovës</v>
      </c>
      <c r="D187" s="3" t="str">
        <v>Национальный статус</v>
      </c>
      <c r="E187" s="7" t="str">
        <v>https://uni-pr.edu/lajme/kujtohet-kanti-ne-kohen-moderne-qe-po-i-le-pak-vend-filozofise</v>
      </c>
      <c r="F187" s="3" t="str">
        <v>При проверке не открылся; HTTP 503</v>
      </c>
      <c r="G187" s="6" t="n">
        <v>46300</v>
      </c>
      <c r="H187" s="3" t="str">
        <v>Переадресация не обнаружена</v>
      </c>
    </row>
    <row r="188" ht="48" customHeight="1">
      <c r="A188" s="8" t="n">
        <v>187</v>
      </c>
      <c r="B188" s="3" t="str">
        <v>Косово</v>
      </c>
      <c r="C188" s="3" t="str">
        <v>Shoqata e Filozofëve të Kosovës</v>
      </c>
      <c r="D188" s="3" t="str">
        <v>FISP: прямое национальное членство</v>
      </c>
      <c r="E188" s="7" t="str">
        <v>https://www.fisp.org/members/national-societies</v>
      </c>
      <c r="F188" s="3" t="str">
        <v>Открыт; HTTP 200</v>
      </c>
      <c r="G188" s="6" t="n">
        <v>46300</v>
      </c>
      <c r="H188" s="3" t="str">
        <v>Переадресация не обнаружена</v>
      </c>
    </row>
    <row r="189" ht="48" customHeight="1">
      <c r="A189" s="8" t="n">
        <v>188</v>
      </c>
      <c r="B189" s="3" t="str">
        <v>Коста-Рика</v>
      </c>
      <c r="C189" s="3" t="str">
        <v>Охват страны</v>
      </c>
      <c r="D189" s="3" t="str">
        <v>Проверенный источник для поиска</v>
      </c>
      <c r="E189" s="7" t="str">
        <v>https://rediberoamericanafilosofia.com/acafi/</v>
      </c>
      <c r="F189" s="3" t="str">
        <v>Открыт; HTTP 200</v>
      </c>
      <c r="G189" s="6" t="n">
        <v>46300</v>
      </c>
      <c r="H189" s="3" t="str">
        <v>Переадресация не обнаружена</v>
      </c>
    </row>
    <row r="190" ht="48" customHeight="1">
      <c r="A190" s="8" t="n">
        <v>189</v>
      </c>
      <c r="B190" s="3" t="str">
        <v>Коста-Рика</v>
      </c>
      <c r="C190" s="3" t="str">
        <v>Asociación Costarricense de Filosofía</v>
      </c>
      <c r="D190" s="3" t="str">
        <v>Официальный сайт</v>
      </c>
      <c r="E190" s="7" t="str">
        <v>https://asociacioncostarricensedefilosofia.com/</v>
      </c>
      <c r="F190" s="3" t="str">
        <v>Открыт; HTTP 200</v>
      </c>
      <c r="G190" s="6" t="n">
        <v>46300</v>
      </c>
      <c r="H190" s="3" t="str">
        <v>Переадресация не обнаружена</v>
      </c>
    </row>
    <row r="191" ht="48" customHeight="1">
      <c r="A191" s="8" t="n">
        <v>190</v>
      </c>
      <c r="B191" s="3" t="str">
        <v>Коста-Рика</v>
      </c>
      <c r="C191" s="3" t="str">
        <v>Asociación Costarricense de Filosofía</v>
      </c>
      <c r="D191" s="3" t="str">
        <v>Руководство</v>
      </c>
      <c r="E191" s="7" t="str">
        <v>https://asociacioncostarricensedefilosofia.com/junta-directiva/</v>
      </c>
      <c r="F191" s="3" t="str">
        <v>Открыт; HTTP 200</v>
      </c>
      <c r="G191" s="6" t="n">
        <v>46300</v>
      </c>
      <c r="H191" s="3" t="str">
        <v>Переадресация не обнаружена</v>
      </c>
    </row>
    <row r="192" ht="48" customHeight="1">
      <c r="A192" s="8" t="n">
        <v>191</v>
      </c>
      <c r="B192" s="3" t="str">
        <v>Коста-Рика</v>
      </c>
      <c r="C192" s="3" t="str">
        <v>Asociación Costarricense de Filosofía</v>
      </c>
      <c r="D192" s="3" t="str">
        <v>Основной журнал</v>
      </c>
      <c r="E192" s="7" t="str">
        <v>https://azurrevista.com/</v>
      </c>
      <c r="F192" s="3" t="str">
        <v>Открыт; HTTP 200</v>
      </c>
      <c r="G192" s="6" t="n">
        <v>46300</v>
      </c>
      <c r="H192" s="3" t="str">
        <v>Переадресация не обнаружена</v>
      </c>
    </row>
    <row r="193" ht="48" customHeight="1">
      <c r="A193" s="8" t="n">
        <v>192</v>
      </c>
      <c r="B193" s="3" t="str">
        <v>Коста-Рика</v>
      </c>
      <c r="C193" s="3" t="str">
        <v>Asociación Costarricense de Filosofía</v>
      </c>
      <c r="D193" s="3" t="str">
        <v>Национальный статус</v>
      </c>
      <c r="E193" s="7" t="str">
        <v>https://rediberoamericanafilosofia.com/acafi/</v>
      </c>
      <c r="F193" s="3" t="str">
        <v>Открыт; HTTP 200</v>
      </c>
      <c r="G193" s="6" t="n">
        <v>46300</v>
      </c>
      <c r="H193" s="3" t="str">
        <v>Переадресация не обнаружена</v>
      </c>
    </row>
    <row r="194" ht="48" customHeight="1">
      <c r="A194" s="8" t="n">
        <v>193</v>
      </c>
      <c r="B194" s="3" t="str">
        <v>Кот-д’Ивуар</v>
      </c>
      <c r="C194" s="3" t="str">
        <v>Охват страны</v>
      </c>
      <c r="D194" s="3" t="str">
        <v>Проверенный источник для поиска</v>
      </c>
      <c r="E194" s="7" t="str">
        <v>https://www.fisp.org/members/national-societies</v>
      </c>
      <c r="F194" s="3" t="str">
        <v>Открыт; HTTP 200</v>
      </c>
      <c r="G194" s="6" t="n">
        <v>46300</v>
      </c>
      <c r="H194" s="3" t="str">
        <v>Переадресация не обнаружена</v>
      </c>
    </row>
    <row r="195" ht="48" customHeight="1">
      <c r="A195" s="8" t="n">
        <v>194</v>
      </c>
      <c r="B195" s="3" t="str">
        <v>Кот-д’Ивуар</v>
      </c>
      <c r="C195" s="3" t="str">
        <v>Association Ivoirienne des Professeurs de Philosophie</v>
      </c>
      <c r="D195" s="3" t="str">
        <v>Национальный статус; FISP: прямое национальное членство</v>
      </c>
      <c r="E195" s="7" t="str">
        <v>https://www.fisp.org/members/national-societies</v>
      </c>
      <c r="F195" s="3" t="str">
        <v>Открыт; HTTP 200</v>
      </c>
      <c r="G195" s="6" t="n">
        <v>46300</v>
      </c>
      <c r="H195" s="3" t="str">
        <v>Переадресация не обнаружена</v>
      </c>
    </row>
    <row r="196" ht="48" customHeight="1">
      <c r="A196" s="8" t="n">
        <v>195</v>
      </c>
      <c r="B196" s="3" t="str">
        <v>Куба</v>
      </c>
      <c r="C196" s="3" t="str">
        <v>Охват страны</v>
      </c>
      <c r="D196" s="3" t="str">
        <v>Проверенный источник для поиска</v>
      </c>
      <c r="E196" s="7" t="str">
        <v>https://www.fisp.org/members/national-societies</v>
      </c>
      <c r="F196" s="3" t="str">
        <v>Открыт; HTTP 200</v>
      </c>
      <c r="G196" s="6" t="n">
        <v>46300</v>
      </c>
      <c r="H196" s="3" t="str">
        <v>Переадресация не обнаружена</v>
      </c>
    </row>
    <row r="197" ht="48" customHeight="1">
      <c r="A197" s="8" t="n">
        <v>196</v>
      </c>
      <c r="B197" s="3" t="str">
        <v>Куба</v>
      </c>
      <c r="C197" s="3" t="str">
        <v>Sociedad Cubana de Investigaciones Filosóficas</v>
      </c>
      <c r="D197" s="3" t="str">
        <v>Основной журнал</v>
      </c>
      <c r="E197" s="7" t="str">
        <v>https://azurrevista.com/</v>
      </c>
      <c r="F197" s="3" t="str">
        <v>Открыт; HTTP 200</v>
      </c>
      <c r="G197" s="6" t="n">
        <v>46300</v>
      </c>
      <c r="H197" s="3" t="str">
        <v>Переадресация не обнаружена</v>
      </c>
    </row>
    <row r="198" ht="48" customHeight="1">
      <c r="A198" s="8" t="n">
        <v>197</v>
      </c>
      <c r="B198" s="3" t="str">
        <v>Куба</v>
      </c>
      <c r="C198" s="3" t="str">
        <v>Sociedad Cubana de Investigaciones Filosóficas</v>
      </c>
      <c r="D198" s="3" t="str">
        <v>Официальный сайт</v>
      </c>
      <c r="E198" s="7" t="str">
        <v>https://scifilosoficas.blogspot.com/</v>
      </c>
      <c r="F198" s="3" t="str">
        <v>Открыт; HTTP 200</v>
      </c>
      <c r="G198" s="6" t="n">
        <v>46300</v>
      </c>
      <c r="H198" s="3" t="str">
        <v>Переадресация не обнаружена</v>
      </c>
    </row>
    <row r="199" ht="48" customHeight="1">
      <c r="A199" s="8" t="n">
        <v>198</v>
      </c>
      <c r="B199" s="3" t="str">
        <v>Куба</v>
      </c>
      <c r="C199" s="3" t="str">
        <v>Sociedad Cubana de Investigaciones Filosóficas</v>
      </c>
      <c r="D199" s="3" t="str">
        <v>Национальный статус; FISP: прямое национальное членство</v>
      </c>
      <c r="E199" s="7" t="str">
        <v>https://www.fisp.org/members/national-societies</v>
      </c>
      <c r="F199" s="3" t="str">
        <v>Открыт; HTTP 200</v>
      </c>
      <c r="G199" s="6" t="n">
        <v>46300</v>
      </c>
      <c r="H199" s="3" t="str">
        <v>Переадресация не обнаружена</v>
      </c>
    </row>
    <row r="200" ht="48" customHeight="1">
      <c r="A200" s="8" t="n">
        <v>199</v>
      </c>
      <c r="B200" s="3" t="str">
        <v>Ливан</v>
      </c>
      <c r="C200" s="3" t="str">
        <v>الجمعية الفلسفية اللبنانية</v>
      </c>
      <c r="D200" s="3" t="str">
        <v>Национальный статус</v>
      </c>
      <c r="E200" s="7" t="str">
        <v>https://ul.edu.lb/ar/teachers/%D8%B3%D8%B9%D8%A7%D8%AF-%D9%85%D8%AD%D9%85%D8%AF-%D8%AA%D9%88%D9%81%D9%8A%D9%82-%D8%A7%D9%84%D8%AD%D9%83%D9%8A%D9%85/2869</v>
      </c>
      <c r="F200" s="3" t="str">
        <v>При проверке не открылся; HTTP 502</v>
      </c>
      <c r="G200" s="6" t="n">
        <v>46300</v>
      </c>
      <c r="H200" s="3" t="str">
        <v>Переадресация не обнаружена</v>
      </c>
    </row>
    <row r="201" ht="48" customHeight="1">
      <c r="A201" s="8" t="n">
        <v>200</v>
      </c>
      <c r="B201" s="3" t="str">
        <v>Ливия</v>
      </c>
      <c r="C201" s="3" t="str">
        <v>الجمعية الفلسفية الليبية</v>
      </c>
      <c r="D201" s="3" t="str">
        <v>Национальный статус</v>
      </c>
      <c r="E201" s="7" t="str">
        <v>https://liasinstitute.com/ar/najib-elhassadi/</v>
      </c>
      <c r="F201" s="3" t="str">
        <v>Открыт; HTTP 200</v>
      </c>
      <c r="G201" s="6" t="n">
        <v>46300</v>
      </c>
      <c r="H201" s="3" t="str">
        <v>Переадресация не обнаружена</v>
      </c>
    </row>
    <row r="202" ht="48" customHeight="1">
      <c r="A202" s="8" t="n">
        <v>201</v>
      </c>
      <c r="B202" s="3" t="str">
        <v>Литва</v>
      </c>
      <c r="C202" s="3" t="str">
        <v>Охват страны</v>
      </c>
      <c r="D202" s="3" t="str">
        <v>Проверенный источник для поиска</v>
      </c>
      <c r="E202" s="7" t="str">
        <v>https://www.lkti.lt/naujienos/kasmetine-lietuvos-filosofu-draugijos-konferencija-2026/</v>
      </c>
      <c r="F202" s="3" t="str">
        <v>Открыт; HTTP 200</v>
      </c>
      <c r="G202" s="6" t="n">
        <v>46300</v>
      </c>
      <c r="H202" s="3" t="str">
        <v>Переадресация не обнаружена</v>
      </c>
    </row>
    <row r="203" ht="48" customHeight="1">
      <c r="A203" s="8" t="n">
        <v>202</v>
      </c>
      <c r="B203" s="3" t="str">
        <v>Литва</v>
      </c>
      <c r="C203" s="3" t="str">
        <v>Lietuvos filosofų draugija</v>
      </c>
      <c r="D203" s="3" t="str">
        <v>Национальный статус</v>
      </c>
      <c r="E203" s="7" t="str">
        <v>https://www.lkti.lt/naujienos/kasmetine-lietuvos-filosofu-draugijos-konferencija-2026/</v>
      </c>
      <c r="F203" s="3" t="str">
        <v>Открыт; HTTP 200</v>
      </c>
      <c r="G203" s="6" t="n">
        <v>46300</v>
      </c>
      <c r="H203" s="3" t="str">
        <v>Переадресация не обнаружена</v>
      </c>
    </row>
    <row r="204" ht="48" customHeight="1">
      <c r="A204" s="8" t="n">
        <v>203</v>
      </c>
      <c r="B204" s="3" t="str">
        <v>Люксембург</v>
      </c>
      <c r="C204" s="3" t="str">
        <v>Охват страны</v>
      </c>
      <c r="D204" s="3" t="str">
        <v>Проверенный источник для поиска</v>
      </c>
      <c r="E204" s="7" t="str">
        <v>https://www.fisp.org/members/national-societies</v>
      </c>
      <c r="F204" s="3" t="str">
        <v>Открыт; HTTP 200</v>
      </c>
      <c r="G204" s="6" t="n">
        <v>46300</v>
      </c>
      <c r="H204" s="3" t="str">
        <v>Переадресация не обнаружена</v>
      </c>
    </row>
    <row r="205" ht="48" customHeight="1">
      <c r="A205" s="8" t="n">
        <v>204</v>
      </c>
      <c r="B205" s="3" t="str">
        <v>Люксембург</v>
      </c>
      <c r="C205" s="3" t="str">
        <v>Cercle de Philosophie</v>
      </c>
      <c r="D205" s="3" t="str">
        <v>Национальный статус; FISP: прямое национальное членство</v>
      </c>
      <c r="E205" s="7" t="str">
        <v>https://www.fisp.org/members/national-societies</v>
      </c>
      <c r="F205" s="3" t="str">
        <v>Открыт; HTTP 200</v>
      </c>
      <c r="G205" s="6" t="n">
        <v>46300</v>
      </c>
      <c r="H205" s="3" t="str">
        <v>Переадресация не обнаружена</v>
      </c>
    </row>
    <row r="206" ht="48" customHeight="1">
      <c r="A206" s="8" t="n">
        <v>205</v>
      </c>
      <c r="B206" s="3" t="str">
        <v>Малайзия</v>
      </c>
      <c r="C206" s="3" t="str">
        <v>Охват страны</v>
      </c>
      <c r="D206" s="3" t="str">
        <v>Проверенный источник для поиска</v>
      </c>
      <c r="E206" s="7" t="str">
        <v>https://ppfpm.org/tentang-kami/</v>
      </c>
      <c r="F206" s="3" t="str">
        <v>Открыт; HTTP 200</v>
      </c>
      <c r="G206" s="6" t="n">
        <v>46300</v>
      </c>
      <c r="H206" s="3" t="str">
        <v>Переадресация не обнаружена</v>
      </c>
    </row>
    <row r="207" ht="48" customHeight="1">
      <c r="A207" s="8" t="n">
        <v>206</v>
      </c>
      <c r="B207" s="3" t="str">
        <v>Малайзия</v>
      </c>
      <c r="C207" s="3" t="str">
        <v>Persatuan Pendidikan Falsafah dan Pemikiran Malaysia</v>
      </c>
      <c r="D207" s="3" t="str">
        <v>Официальный сайт</v>
      </c>
      <c r="E207" s="7" t="str">
        <v>https://ppfpm.org/</v>
      </c>
      <c r="F207" s="3" t="str">
        <v>Открыт; HTTP 200</v>
      </c>
      <c r="G207" s="6" t="n">
        <v>46300</v>
      </c>
      <c r="H207" s="3" t="str">
        <v>Переадресация не обнаружена</v>
      </c>
    </row>
    <row r="208" ht="48" customHeight="1">
      <c r="A208" s="8" t="n">
        <v>207</v>
      </c>
      <c r="B208" s="3" t="str">
        <v>Малайзия</v>
      </c>
      <c r="C208" s="3" t="str">
        <v>Persatuan Pendidikan Falsafah dan Pemikiran Malaysia</v>
      </c>
      <c r="D208" s="3" t="str">
        <v>Национальный статус; Руководство: архивный или неполный источник, требуется актуальное подтверждение</v>
      </c>
      <c r="E208" s="7" t="str">
        <v>https://ppfpm.org/tentang-kami/</v>
      </c>
      <c r="F208" s="3" t="str">
        <v>Открыт; HTTP 200</v>
      </c>
      <c r="G208" s="6" t="n">
        <v>46300</v>
      </c>
      <c r="H208" s="3" t="str">
        <v>Переадресация не обнаружена</v>
      </c>
    </row>
    <row r="209" ht="48" customHeight="1">
      <c r="A209" s="8" t="n">
        <v>208</v>
      </c>
      <c r="B209" s="3" t="str">
        <v>Малайзия</v>
      </c>
      <c r="C209" s="3" t="str">
        <v>Persatuan Pendidikan Falsafah dan Pemikiran Malaysia</v>
      </c>
      <c r="D209" s="3" t="str">
        <v>FISP: прямое национальное членство</v>
      </c>
      <c r="E209" s="7" t="str">
        <v>https://www.fisp.org/members/national-societies</v>
      </c>
      <c r="F209" s="3" t="str">
        <v>Открыт; HTTP 200</v>
      </c>
      <c r="G209" s="6" t="n">
        <v>46300</v>
      </c>
      <c r="H209" s="3" t="str">
        <v>Переадресация не обнаружена</v>
      </c>
    </row>
    <row r="210" ht="48" customHeight="1">
      <c r="A210" s="8" t="n">
        <v>209</v>
      </c>
      <c r="B210" s="3" t="str">
        <v>Мальта</v>
      </c>
      <c r="C210" s="3" t="str">
        <v>Охват страны</v>
      </c>
      <c r="D210" s="3" t="str">
        <v>Проверенный источник для поиска</v>
      </c>
      <c r="E210" s="7" t="str">
        <v>https://www.fisp.org/members/national-societies</v>
      </c>
      <c r="F210" s="3" t="str">
        <v>Открыт; HTTP 200</v>
      </c>
      <c r="G210" s="6" t="n">
        <v>46300</v>
      </c>
      <c r="H210" s="3" t="str">
        <v>Переадресация не обнаружена</v>
      </c>
    </row>
    <row r="211" ht="48" customHeight="1">
      <c r="A211" s="8" t="n">
        <v>210</v>
      </c>
      <c r="B211" s="3" t="str">
        <v>Мальта</v>
      </c>
      <c r="C211" s="3" t="str">
        <v>Philosophy Sharing Foundation</v>
      </c>
      <c r="D211" s="3" t="str">
        <v>Дополнительное подтверждение</v>
      </c>
      <c r="E211" s="7" t="str">
        <v>https://twitter.com/psf_maltagozo</v>
      </c>
      <c r="F211" s="3" t="str">
        <v>При проверке не открылся; HTTP 404</v>
      </c>
      <c r="G211" s="6" t="n">
        <v>46300</v>
      </c>
      <c r="H211" s="7" t="str">
        <v>https://x.com/psf_maltagozo</v>
      </c>
    </row>
    <row r="212" ht="48" customHeight="1">
      <c r="A212" s="8" t="n">
        <v>211</v>
      </c>
      <c r="B212" s="3" t="str">
        <v>Мальта</v>
      </c>
      <c r="C212" s="3" t="str">
        <v>Philosophy Sharing Foundation</v>
      </c>
      <c r="D212" s="3" t="str">
        <v>Facebook</v>
      </c>
      <c r="E212" s="7" t="str">
        <v>https://www.facebook.com/Philosophy-Sharing-Malta-1173724952658306/</v>
      </c>
      <c r="F212" s="3" t="str">
        <v>Открыт; HTTP 200</v>
      </c>
      <c r="G212" s="6" t="n">
        <v>46300</v>
      </c>
      <c r="H212" s="7" t="str">
        <v>https://www.facebook.com/login/?next=https%3A%2F%2Fwww.facebook.com%2FPhilosophy-Sharing-Malta-1173724952658306%2F</v>
      </c>
    </row>
    <row r="213" ht="48" customHeight="1">
      <c r="A213" s="8" t="n">
        <v>212</v>
      </c>
      <c r="B213" s="3" t="str">
        <v>Мальта</v>
      </c>
      <c r="C213" s="3" t="str">
        <v>Philosophy Sharing Foundation</v>
      </c>
      <c r="D213" s="3" t="str">
        <v>FISP: прямое национальное членство</v>
      </c>
      <c r="E213" s="7" t="str">
        <v>https://www.fisp.org/members/national-societies</v>
      </c>
      <c r="F213" s="3" t="str">
        <v>Открыт; HTTP 200</v>
      </c>
      <c r="G213" s="6" t="n">
        <v>46300</v>
      </c>
      <c r="H213" s="3" t="str">
        <v>Переадресация не обнаружена</v>
      </c>
    </row>
    <row r="214" ht="48" customHeight="1">
      <c r="A214" s="8" t="n">
        <v>213</v>
      </c>
      <c r="B214" s="3" t="str">
        <v>Мальта</v>
      </c>
      <c r="C214" s="3" t="str">
        <v>Philosophy Sharing Foundation</v>
      </c>
      <c r="D214" s="3" t="str">
        <v>Instagram</v>
      </c>
      <c r="E214" s="7" t="str">
        <v>https://www.instagram.com/philosophysharingmalta/</v>
      </c>
      <c r="F214" s="3" t="str">
        <v>Открыт; HTTP 200</v>
      </c>
      <c r="G214" s="6" t="n">
        <v>46300</v>
      </c>
      <c r="H214" s="3" t="str">
        <v>Переадресация не обнаружена</v>
      </c>
    </row>
    <row r="215" ht="48" customHeight="1">
      <c r="A215" s="8" t="n">
        <v>214</v>
      </c>
      <c r="B215" s="3" t="str">
        <v>Мальта</v>
      </c>
      <c r="C215" s="3" t="str">
        <v>Philosophy Sharing Foundation</v>
      </c>
      <c r="D215" s="3" t="str">
        <v>Официальный сайт; Подтверждение официальных социальных сетей</v>
      </c>
      <c r="E215" s="7" t="str">
        <v>https://www.philosophysharing.org/</v>
      </c>
      <c r="F215" s="3" t="str">
        <v>Открыт; HTTP 200</v>
      </c>
      <c r="G215" s="6" t="n">
        <v>46300</v>
      </c>
      <c r="H215" s="3" t="str">
        <v>Переадресация не обнаружена</v>
      </c>
    </row>
    <row r="216" ht="48" customHeight="1">
      <c r="A216" s="8" t="n">
        <v>215</v>
      </c>
      <c r="B216" s="3" t="str">
        <v>Мальта</v>
      </c>
      <c r="C216" s="3" t="str">
        <v>Philosophy Sharing Foundation</v>
      </c>
      <c r="D216" s="3" t="str">
        <v>Национальный статус; Руководство</v>
      </c>
      <c r="E216" s="7" t="str">
        <v>https://www.philosophysharing.org/about-2</v>
      </c>
      <c r="F216" s="3" t="str">
        <v>Открыт; HTTP 200</v>
      </c>
      <c r="G216" s="6" t="n">
        <v>46300</v>
      </c>
      <c r="H216" s="3" t="str">
        <v>Переадресация не обнаружена</v>
      </c>
    </row>
    <row r="217" ht="48" customHeight="1">
      <c r="A217" s="8" t="n">
        <v>216</v>
      </c>
      <c r="B217" s="3" t="str">
        <v>Мальта</v>
      </c>
      <c r="C217" s="3" t="str">
        <v>Philosophy Sharing Foundation</v>
      </c>
      <c r="D217" s="3" t="str">
        <v>Основной журнал</v>
      </c>
      <c r="E217" s="7" t="str">
        <v>https://www.philosophysharing.org/publications</v>
      </c>
      <c r="F217" s="3" t="str">
        <v>Открыт; HTTP 200</v>
      </c>
      <c r="G217" s="6" t="n">
        <v>46300</v>
      </c>
      <c r="H217" s="3" t="str">
        <v>Переадресация не обнаружена</v>
      </c>
    </row>
    <row r="218" ht="48" customHeight="1">
      <c r="A218" s="8" t="n">
        <v>217</v>
      </c>
      <c r="B218" s="3" t="str">
        <v>Марокко</v>
      </c>
      <c r="C218" s="3" t="str">
        <v>Охват страны</v>
      </c>
      <c r="D218" s="3" t="str">
        <v>Проверенный источник для поиска</v>
      </c>
      <c r="E218" s="7" t="str">
        <v>https://www.fisp.org/members/national-societies</v>
      </c>
      <c r="F218" s="3" t="str">
        <v>Открыт; HTTP 200</v>
      </c>
      <c r="G218" s="6" t="n">
        <v>46300</v>
      </c>
      <c r="H218" s="3" t="str">
        <v>Переадресация не обнаружена</v>
      </c>
    </row>
    <row r="219" ht="48" customHeight="1">
      <c r="A219" s="8" t="n">
        <v>218</v>
      </c>
      <c r="B219" s="3" t="str">
        <v>Марокко</v>
      </c>
      <c r="C219" s="3" t="str">
        <v>Association Marocaine de Philosophie</v>
      </c>
      <c r="D219" s="3" t="str">
        <v>Национальный статус; FISP: прямое национальное членство</v>
      </c>
      <c r="E219" s="7" t="str">
        <v>https://www.fisp.org/members/national-societies</v>
      </c>
      <c r="F219" s="3" t="str">
        <v>Открыт; HTTP 200</v>
      </c>
      <c r="G219" s="6" t="n">
        <v>46300</v>
      </c>
      <c r="H219" s="3" t="str">
        <v>Переадресация не обнаружена</v>
      </c>
    </row>
    <row r="220" ht="48" customHeight="1">
      <c r="A220" s="8" t="n">
        <v>219</v>
      </c>
      <c r="B220" s="3" t="str">
        <v>Мексика</v>
      </c>
      <c r="C220" s="3" t="str">
        <v>Охват страны</v>
      </c>
      <c r="D220" s="3" t="str">
        <v>Проверенный источник для поиска</v>
      </c>
      <c r="E220" s="7" t="str">
        <v>https://asociacionfilosoficamx.com/</v>
      </c>
      <c r="F220" s="3" t="str">
        <v>Открыт; HTTP 200</v>
      </c>
      <c r="G220" s="6" t="n">
        <v>46300</v>
      </c>
      <c r="H220" s="3" t="str">
        <v>Переадресация не обнаружена</v>
      </c>
    </row>
    <row r="221" ht="48" customHeight="1">
      <c r="A221" s="8" t="n">
        <v>220</v>
      </c>
      <c r="B221" s="3" t="str">
        <v>Мексика</v>
      </c>
      <c r="C221" s="3" t="str">
        <v>Охват страны</v>
      </c>
      <c r="D221" s="3" t="str">
        <v>Проверенный источник для поиска</v>
      </c>
      <c r="E221" s="7" t="str">
        <v>https://www.fisp.org/members/national-societies</v>
      </c>
      <c r="F221" s="3" t="str">
        <v>Открыт; HTTP 200</v>
      </c>
      <c r="G221" s="6" t="n">
        <v>46300</v>
      </c>
      <c r="H221" s="3" t="str">
        <v>Переадресация не обнаружена</v>
      </c>
    </row>
    <row r="222" ht="48" customHeight="1">
      <c r="A222" s="8" t="n">
        <v>221</v>
      </c>
      <c r="B222" s="3" t="str">
        <v>Мексика</v>
      </c>
      <c r="C222" s="3" t="str">
        <v>Asociación Filosófica de México, A.C.</v>
      </c>
      <c r="D222" s="3" t="str">
        <v>Официальный сайт; Национальный статус; Подтверждение официальных социальных сетей</v>
      </c>
      <c r="E222" s="7" t="str">
        <v>https://asociacionfilosoficamx.com/</v>
      </c>
      <c r="F222" s="3" t="str">
        <v>Открыт; HTTP 200</v>
      </c>
      <c r="G222" s="6" t="n">
        <v>46300</v>
      </c>
      <c r="H222" s="3" t="str">
        <v>Переадресация не обнаружена</v>
      </c>
    </row>
    <row r="223" ht="48" customHeight="1">
      <c r="A223" s="8" t="n">
        <v>222</v>
      </c>
      <c r="B223" s="3" t="str">
        <v>Мексика</v>
      </c>
      <c r="C223" s="3" t="str">
        <v>Asociación Filosófica de México, A.C.</v>
      </c>
      <c r="D223" s="3" t="str">
        <v>Руководство</v>
      </c>
      <c r="E223" s="7" t="str">
        <v>https://asociacionfilosoficamx.com/consejo-directivo-2026-2028/</v>
      </c>
      <c r="F223" s="3" t="str">
        <v>Открыт; HTTP 200</v>
      </c>
      <c r="G223" s="6" t="n">
        <v>46300</v>
      </c>
      <c r="H223" s="3" t="str">
        <v>Переадресация не обнаружена</v>
      </c>
    </row>
    <row r="224" ht="48" customHeight="1">
      <c r="A224" s="8" t="n">
        <v>223</v>
      </c>
      <c r="B224" s="3" t="str">
        <v>Мексика</v>
      </c>
      <c r="C224" s="3" t="str">
        <v>Asociación Filosófica de México, A.C.</v>
      </c>
      <c r="D224" s="3" t="str">
        <v>Facebook</v>
      </c>
      <c r="E224" s="7" t="str">
        <v>https://www.facebook.com/p/Asociaci%C3%B3n-Filos%C3%B3fica-de-M%C3%A9xico-AC-100083069895575/</v>
      </c>
      <c r="F224" s="3" t="str">
        <v>Открыт; HTTP 200</v>
      </c>
      <c r="G224" s="6" t="n">
        <v>46300</v>
      </c>
      <c r="H224" s="3" t="str">
        <v>Переадресация не обнаружена</v>
      </c>
    </row>
    <row r="225" ht="48" customHeight="1">
      <c r="A225" s="8" t="n">
        <v>224</v>
      </c>
      <c r="B225" s="3" t="str">
        <v>Мексика</v>
      </c>
      <c r="C225" s="3" t="str">
        <v>Asociación Filosófica de México, A.C.</v>
      </c>
      <c r="D225" s="3" t="str">
        <v>FISP: прямое национальное членство</v>
      </c>
      <c r="E225" s="7" t="str">
        <v>https://www.fisp.org/members/national-societies</v>
      </c>
      <c r="F225" s="3" t="str">
        <v>Открыт; HTTP 200</v>
      </c>
      <c r="G225" s="6" t="n">
        <v>46300</v>
      </c>
      <c r="H225" s="3" t="str">
        <v>Переадресация не обнаружена</v>
      </c>
    </row>
    <row r="226" ht="48" customHeight="1">
      <c r="A226" s="8" t="n">
        <v>225</v>
      </c>
      <c r="B226" s="3" t="str">
        <v>Мексика</v>
      </c>
      <c r="C226" s="3" t="str">
        <v>Asociación Filosófica de México, A.C.</v>
      </c>
      <c r="D226" s="3" t="str">
        <v>Instagram</v>
      </c>
      <c r="E226" s="7" t="str">
        <v>https://www.instagram.com/afilomex/</v>
      </c>
      <c r="F226" s="3" t="str">
        <v>Открыт; HTTP 200</v>
      </c>
      <c r="G226" s="6" t="n">
        <v>46300</v>
      </c>
      <c r="H226" s="3" t="str">
        <v>Переадресация не обнаружена</v>
      </c>
    </row>
    <row r="227" ht="48" customHeight="1">
      <c r="A227" s="8" t="n">
        <v>226</v>
      </c>
      <c r="B227" s="3" t="str">
        <v>Мексика</v>
      </c>
      <c r="C227" s="3" t="str">
        <v>Asociación Filosófica de México, A.C.</v>
      </c>
      <c r="D227" s="3" t="str">
        <v>YouTube</v>
      </c>
      <c r="E227" s="7" t="str">
        <v>https://www.youtube.com/@AfmOrgMx</v>
      </c>
      <c r="F227" s="3" t="str">
        <v>Открыт; HTTP 200</v>
      </c>
      <c r="G227" s="6" t="n">
        <v>46300</v>
      </c>
      <c r="H227" s="7" t="str">
        <v>https://www.youtube.com/@AfmOrgMx?cbrd=1&amp;ucbcb=1</v>
      </c>
    </row>
    <row r="228" ht="48" customHeight="1">
      <c r="A228" s="8" t="n">
        <v>227</v>
      </c>
      <c r="B228" s="3" t="str">
        <v>Мексика</v>
      </c>
      <c r="C228" s="3" t="str">
        <v>Asociación Filosófica de México, A.C.</v>
      </c>
      <c r="D228" s="3" t="str">
        <v>X / Twitter</v>
      </c>
      <c r="E228" s="7" t="str">
        <v>https://x.com/afilomex</v>
      </c>
      <c r="F228" s="3" t="str">
        <v>Открыт; HTTP 200</v>
      </c>
      <c r="G228" s="6" t="n">
        <v>46300</v>
      </c>
      <c r="H228" s="3" t="str">
        <v>Переадресация не обнаружена</v>
      </c>
    </row>
    <row r="229" ht="48" customHeight="1">
      <c r="A229" s="8" t="n">
        <v>228</v>
      </c>
      <c r="B229" s="3" t="str">
        <v>Мексика</v>
      </c>
      <c r="C229" s="3" t="str">
        <v>Sociedad Mexicana de Filosofía</v>
      </c>
      <c r="D229" s="3" t="str">
        <v>Национальный статус; FISP: прямое национальное членство</v>
      </c>
      <c r="E229" s="7" t="str">
        <v>https://www.fisp.org/members/national-societies</v>
      </c>
      <c r="F229" s="3" t="str">
        <v>Открыт; HTTP 200</v>
      </c>
      <c r="G229" s="6" t="n">
        <v>46300</v>
      </c>
      <c r="H229" s="3" t="str">
        <v>Переадресация не обнаружена</v>
      </c>
    </row>
    <row r="230" ht="48" customHeight="1">
      <c r="A230" s="8" t="n">
        <v>229</v>
      </c>
      <c r="B230" s="3" t="str">
        <v>Мексика</v>
      </c>
      <c r="C230" s="3" t="str">
        <v>Sociedad Mexicana de Filosofía</v>
      </c>
      <c r="D230" s="3" t="str">
        <v>Официальный сайт; Подтверждение официальных социальных сетей</v>
      </c>
      <c r="E230" s="7" t="str">
        <v>https://www.sociedadmexicanadefilosofia.org/</v>
      </c>
      <c r="F230" s="3" t="str">
        <v>При проверке не открылся; HTTP 502</v>
      </c>
      <c r="G230" s="6" t="n">
        <v>46300</v>
      </c>
      <c r="H230" s="3" t="str">
        <v>Переадресация не обнаружена</v>
      </c>
    </row>
    <row r="231" ht="48" customHeight="1">
      <c r="A231" s="8" t="n">
        <v>230</v>
      </c>
      <c r="B231" s="3" t="str">
        <v>Мир</v>
      </c>
      <c r="C231" s="3" t="str">
        <v>Международные федерации</v>
      </c>
      <c r="D231" s="3" t="str">
        <v>Отправной реестр; членство проверяется отдельно для каждой организации</v>
      </c>
      <c r="E231" s="7" t="str">
        <v>https://asplf.org/liste-des-societes/</v>
      </c>
      <c r="F231" s="3" t="str">
        <v>Открыт; HTTP 200</v>
      </c>
      <c r="G231" s="6" t="n">
        <v>46300</v>
      </c>
      <c r="H231" s="3" t="str">
        <v>Переадресация не обнаружена</v>
      </c>
    </row>
    <row r="232" ht="48" customHeight="1">
      <c r="A232" s="8" t="n">
        <v>231</v>
      </c>
      <c r="B232" s="3" t="str">
        <v>Мир</v>
      </c>
      <c r="C232" s="3" t="str">
        <v>Международные федерации</v>
      </c>
      <c r="D232" s="3" t="str">
        <v>Отправной реестр; членство проверяется отдельно для каждой организации</v>
      </c>
      <c r="E232" s="7" t="str">
        <v>https://cipsh.one/members/</v>
      </c>
      <c r="F232" s="3" t="str">
        <v>Открыт; HTTP 206</v>
      </c>
      <c r="G232" s="6" t="n">
        <v>46300</v>
      </c>
      <c r="H232" s="3" t="str">
        <v>Переадресация не обнаружена</v>
      </c>
    </row>
    <row r="233" ht="48" customHeight="1">
      <c r="A233" s="8" t="n">
        <v>232</v>
      </c>
      <c r="B233" s="3" t="str">
        <v>Мир</v>
      </c>
      <c r="C233" s="3" t="str">
        <v>Международные федерации</v>
      </c>
      <c r="D233" s="3" t="str">
        <v>Отправной реестр; членство проверяется отдельно для каждой организации</v>
      </c>
      <c r="E233" s="7" t="str">
        <v>https://rediberoamericanafilosofia.com/acafi/</v>
      </c>
      <c r="F233" s="3" t="str">
        <v>Открыт; HTTP 200</v>
      </c>
      <c r="G233" s="6" t="n">
        <v>46300</v>
      </c>
      <c r="H233" s="3" t="str">
        <v>Переадресация не обнаружена</v>
      </c>
    </row>
    <row r="234" ht="48" customHeight="1">
      <c r="A234" s="8" t="n">
        <v>233</v>
      </c>
      <c r="B234" s="3" t="str">
        <v>Мир</v>
      </c>
      <c r="C234" s="3" t="str">
        <v>Международные федерации</v>
      </c>
      <c r="D234" s="3" t="str">
        <v>Отправной реестр; членство проверяется отдельно для каждой организации</v>
      </c>
      <c r="E234" s="7" t="str">
        <v>https://www.fisp.org/members/national-societies</v>
      </c>
      <c r="F234" s="3" t="str">
        <v>Открыт; HTTP 200</v>
      </c>
      <c r="G234" s="6" t="n">
        <v>46300</v>
      </c>
      <c r="H234" s="3" t="str">
        <v>Переадресация не обнаружена</v>
      </c>
    </row>
    <row r="235" ht="48" customHeight="1">
      <c r="A235" s="8" t="n">
        <v>234</v>
      </c>
      <c r="B235" s="3" t="str">
        <v>Молдова</v>
      </c>
      <c r="C235" s="3" t="str">
        <v>Охват страны</v>
      </c>
      <c r="D235" s="3" t="str">
        <v>Проверенный источник для поиска</v>
      </c>
      <c r="E235" s="7" t="str">
        <v>https://msuir.usm.md/server/api/core/bitstreams/a3729c09-7480-44bf-ad49-1e6b87ae0a90/content</v>
      </c>
      <c r="F235" s="3" t="str">
        <v>Открыт; HTTP 206</v>
      </c>
      <c r="G235" s="6" t="n">
        <v>46300</v>
      </c>
      <c r="H235" s="3" t="str">
        <v>Переадресация не обнаружена</v>
      </c>
    </row>
    <row r="236" ht="48" customHeight="1">
      <c r="A236" s="8" t="n">
        <v>235</v>
      </c>
      <c r="B236" s="3" t="str">
        <v>Молдова</v>
      </c>
      <c r="C236" s="3" t="str">
        <v>Asociația pentru Filosofie din Republica Moldova</v>
      </c>
      <c r="D236" s="3" t="str">
        <v>Официальный сайт</v>
      </c>
      <c r="E236" s="7" t="str">
        <v>https://asociatiapentrufilosofie.wordpress.com/</v>
      </c>
      <c r="F236" s="3" t="str">
        <v>Открыт; HTTP 200</v>
      </c>
      <c r="G236" s="6" t="n">
        <v>46300</v>
      </c>
      <c r="H236" s="3" t="str">
        <v>Переадресация не обнаружена</v>
      </c>
    </row>
    <row r="237" ht="48" customHeight="1">
      <c r="A237" s="8" t="n">
        <v>236</v>
      </c>
      <c r="B237" s="3" t="str">
        <v>Молдова</v>
      </c>
      <c r="C237" s="3" t="str">
        <v>Asociația pentru Filosofie din Republica Moldova</v>
      </c>
      <c r="D237" s="3" t="str">
        <v>Национальный статус</v>
      </c>
      <c r="E237" s="7" t="str">
        <v>https://msuir.usm.md/server/api/core/bitstreams/a3729c09-7480-44bf-ad49-1e6b87ae0a90/content</v>
      </c>
      <c r="F237" s="3" t="str">
        <v>Открыт; HTTP 206</v>
      </c>
      <c r="G237" s="6" t="n">
        <v>46300</v>
      </c>
      <c r="H237" s="3" t="str">
        <v>Переадресация не обнаружена</v>
      </c>
    </row>
    <row r="238" ht="48" customHeight="1">
      <c r="A238" s="8" t="n">
        <v>237</v>
      </c>
      <c r="B238" s="3" t="str">
        <v>Монголия</v>
      </c>
      <c r="C238" s="3" t="str">
        <v>Монголын Философийн Холбоо</v>
      </c>
      <c r="D238" s="3" t="str">
        <v>Национальный статус; FISP: прямое национальное членство</v>
      </c>
      <c r="E238" s="7" t="str">
        <v>https://www.fisp.org/members/national-societies</v>
      </c>
      <c r="F238" s="3" t="str">
        <v>Открыт; HTTP 200</v>
      </c>
      <c r="G238" s="6" t="n">
        <v>46300</v>
      </c>
      <c r="H238" s="3" t="str">
        <v>Переадресация не обнаружена</v>
      </c>
    </row>
    <row r="239" ht="48" customHeight="1">
      <c r="A239" s="8" t="n">
        <v>238</v>
      </c>
      <c r="B239" s="3" t="str">
        <v>Монголия</v>
      </c>
      <c r="C239" s="3" t="str">
        <v>Монголын Философийн Холбоо</v>
      </c>
      <c r="D239" s="3" t="str">
        <v>Официальный сайт</v>
      </c>
      <c r="E239" s="7" t="str">
        <v>https://www.mongolianphilosophy.org/</v>
      </c>
      <c r="F239" s="3" t="str">
        <v>При проверке не открылся; HTTP 502</v>
      </c>
      <c r="G239" s="6" t="n">
        <v>46300</v>
      </c>
      <c r="H239" s="3" t="str">
        <v>Переадресация не обнаружена</v>
      </c>
    </row>
    <row r="240" ht="48" customHeight="1">
      <c r="A240" s="8" t="n">
        <v>239</v>
      </c>
      <c r="B240" s="3" t="str">
        <v>Монголия</v>
      </c>
      <c r="C240" s="3" t="str">
        <v>Охват страны</v>
      </c>
      <c r="D240" s="3" t="str">
        <v>Проверенный источник для поиска</v>
      </c>
      <c r="E240" s="7" t="str">
        <v>https://www.fisp.org/members/national-societies</v>
      </c>
      <c r="F240" s="3" t="str">
        <v>Открыт; HTTP 200</v>
      </c>
      <c r="G240" s="6" t="n">
        <v>46300</v>
      </c>
      <c r="H240" s="3" t="str">
        <v>Переадресация не обнаружена</v>
      </c>
    </row>
    <row r="241" ht="48" customHeight="1">
      <c r="A241" s="8" t="n">
        <v>240</v>
      </c>
      <c r="B241" s="3" t="str">
        <v>Непал</v>
      </c>
      <c r="C241" s="3" t="str">
        <v>Охват страны</v>
      </c>
      <c r="D241" s="3" t="str">
        <v>Проверенный источник для поиска</v>
      </c>
      <c r="E241" s="7" t="str">
        <v>https://www.fisp.org/members/national-societies</v>
      </c>
      <c r="F241" s="3" t="str">
        <v>Открыт; HTTP 200</v>
      </c>
      <c r="G241" s="6" t="n">
        <v>46300</v>
      </c>
      <c r="H241" s="3" t="str">
        <v>Переадресация не обнаружена</v>
      </c>
    </row>
    <row r="242" ht="48" customHeight="1">
      <c r="A242" s="8" t="n">
        <v>241</v>
      </c>
      <c r="B242" s="3" t="str">
        <v>Непал</v>
      </c>
      <c r="C242" s="3" t="str">
        <v>Society for Philosophy and Literary Studies</v>
      </c>
      <c r="D242" s="3" t="str">
        <v>Национальный статус; FISP: прямое национальное членство</v>
      </c>
      <c r="E242" s="7" t="str">
        <v>https://www.fisp.org/members/national-societies</v>
      </c>
      <c r="F242" s="3" t="str">
        <v>Открыт; HTTP 200</v>
      </c>
      <c r="G242" s="6" t="n">
        <v>46300</v>
      </c>
      <c r="H242" s="3" t="str">
        <v>Переадресация не обнаружена</v>
      </c>
    </row>
    <row r="243" ht="48" customHeight="1">
      <c r="A243" s="8" t="n">
        <v>242</v>
      </c>
      <c r="B243" s="3" t="str">
        <v>Нигерия</v>
      </c>
      <c r="C243" s="3" t="str">
        <v>Охват страны</v>
      </c>
      <c r="D243" s="3" t="str">
        <v>Проверенный источник для поиска</v>
      </c>
      <c r="E243" s="7" t="str">
        <v>https://www.fisp.org/members/national-societies</v>
      </c>
      <c r="F243" s="3" t="str">
        <v>Открыт; HTTP 200</v>
      </c>
      <c r="G243" s="6" t="n">
        <v>46300</v>
      </c>
      <c r="H243" s="3" t="str">
        <v>Переадресация не обнаружена</v>
      </c>
    </row>
    <row r="244" ht="48" customHeight="1">
      <c r="A244" s="8" t="n">
        <v>243</v>
      </c>
      <c r="B244" s="3" t="str">
        <v>Нигерия</v>
      </c>
      <c r="C244" s="3" t="str">
        <v>Association of Philosophy Professionals of Nigeria</v>
      </c>
      <c r="D244" s="3" t="str">
        <v>Институциональная связь журнала</v>
      </c>
      <c r="E244" s="7" t="str">
        <v>https://main.oouagoiwoye.edu.ng/colleges/faculties/arts/religious/</v>
      </c>
      <c r="F244" s="3" t="str">
        <v>Открыт; HTTP 200</v>
      </c>
      <c r="G244" s="6" t="n">
        <v>46300</v>
      </c>
      <c r="H244" s="3" t="str">
        <v>Переадресация не обнаружена</v>
      </c>
    </row>
    <row r="245" ht="48" customHeight="1">
      <c r="A245" s="8" t="n">
        <v>244</v>
      </c>
      <c r="B245" s="3" t="str">
        <v>Нигерия</v>
      </c>
      <c r="C245" s="3" t="str">
        <v>Association of Philosophy Professionals of Nigeria</v>
      </c>
      <c r="D245" s="3" t="str">
        <v>Официальный сайт</v>
      </c>
      <c r="E245" s="7" t="str">
        <v>https://www.appon.org.ng/</v>
      </c>
      <c r="F245" s="3" t="str">
        <v>При проверке не открылся; HTTP 502</v>
      </c>
      <c r="G245" s="6" t="n">
        <v>46300</v>
      </c>
      <c r="H245" s="3" t="str">
        <v>Переадресация не обнаружена</v>
      </c>
    </row>
    <row r="246" ht="48" customHeight="1">
      <c r="A246" s="8" t="n">
        <v>245</v>
      </c>
      <c r="B246" s="3" t="str">
        <v>Нигерия</v>
      </c>
      <c r="C246" s="3" t="str">
        <v>Association of Philosophy Professionals of Nigeria</v>
      </c>
      <c r="D246" s="3" t="str">
        <v>Национальный статус; FISP: прямое национальное членство</v>
      </c>
      <c r="E246" s="7" t="str">
        <v>https://www.fisp.org/members/national-societies</v>
      </c>
      <c r="F246" s="3" t="str">
        <v>Открыт; HTTP 200</v>
      </c>
      <c r="G246" s="6" t="n">
        <v>46300</v>
      </c>
      <c r="H246" s="3" t="str">
        <v>Переадресация не обнаружена</v>
      </c>
    </row>
    <row r="247" ht="48" customHeight="1">
      <c r="A247" s="8" t="n">
        <v>246</v>
      </c>
      <c r="B247" s="3" t="str">
        <v>Нигерия</v>
      </c>
      <c r="C247" s="3" t="str">
        <v>Philosophers Association of Nigeria</v>
      </c>
      <c r="D247" s="3" t="str">
        <v>Дополнительное подтверждение</v>
      </c>
      <c r="E247" s="7" t="str">
        <v>https://thelegalobserver.com.ng/2026/08/15/aaua-professor-akinnawonu-inducted-into-nigeria-academy-of-letters/</v>
      </c>
      <c r="F247" s="3" t="str">
        <v>Автоматический доступ ограничен; HTTP 403</v>
      </c>
      <c r="G247" s="6" t="n">
        <v>46300</v>
      </c>
      <c r="H247" s="3" t="str">
        <v>Переадресация не обнаружена</v>
      </c>
    </row>
    <row r="248" ht="48" customHeight="1">
      <c r="A248" s="8" t="n">
        <v>247</v>
      </c>
      <c r="B248" s="3" t="str">
        <v>Нигерия</v>
      </c>
      <c r="C248" s="3" t="str">
        <v>Philosophers Association of Nigeria</v>
      </c>
      <c r="D248" s="3" t="str">
        <v>Руководство</v>
      </c>
      <c r="E248" s="7" t="str">
        <v>https://ujws.uniosun.edu.ng/ijpc/issue/download/5/33</v>
      </c>
      <c r="F248" s="3" t="str">
        <v>Открыт; HTTP 200</v>
      </c>
      <c r="G248" s="6" t="n">
        <v>46300</v>
      </c>
      <c r="H248" s="3" t="str">
        <v>Переадресация не обнаружена</v>
      </c>
    </row>
    <row r="249" ht="48" customHeight="1">
      <c r="A249" s="8" t="n">
        <v>248</v>
      </c>
      <c r="B249" s="3" t="str">
        <v>Нигерия</v>
      </c>
      <c r="C249" s="3" t="str">
        <v>Philosophers Association of Nigeria</v>
      </c>
      <c r="D249" s="3" t="str">
        <v>Национальный статус; FISP: прямое национальное членство</v>
      </c>
      <c r="E249" s="7" t="str">
        <v>https://www.fisp.org/members/national-societies</v>
      </c>
      <c r="F249" s="3" t="str">
        <v>Открыт; HTTP 200</v>
      </c>
      <c r="G249" s="6" t="n">
        <v>46300</v>
      </c>
      <c r="H249" s="3" t="str">
        <v>Переадресация не обнаружена</v>
      </c>
    </row>
    <row r="250" ht="48" customHeight="1">
      <c r="A250" s="8" t="n">
        <v>249</v>
      </c>
      <c r="B250" s="3" t="str">
        <v>Нигерия</v>
      </c>
      <c r="C250" s="3" t="str">
        <v>Philosophers Association of Nigeria</v>
      </c>
      <c r="D250" s="3" t="str">
        <v>Официальный сайт</v>
      </c>
      <c r="E250" s="7" t="str">
        <v>https://www.pan-edu.org/</v>
      </c>
      <c r="F250" s="3" t="str">
        <v>Открыт; HTTP 200</v>
      </c>
      <c r="G250" s="6" t="n">
        <v>46300</v>
      </c>
      <c r="H250" s="3" t="str">
        <v>Переадресация не обнаружена</v>
      </c>
    </row>
    <row r="251" ht="48" customHeight="1">
      <c r="A251" s="8" t="n">
        <v>250</v>
      </c>
      <c r="B251" s="3" t="str">
        <v>Нидерланды</v>
      </c>
      <c r="C251" s="3" t="str">
        <v>Охват страны</v>
      </c>
      <c r="D251" s="3" t="str">
        <v>Проверенный источник для поиска</v>
      </c>
      <c r="E251" s="7" t="str">
        <v>https://www.ozsw.nl/about-the-ozsw/</v>
      </c>
      <c r="F251" s="3" t="str">
        <v>Открыт; HTTP 200</v>
      </c>
      <c r="G251" s="6" t="n">
        <v>46300</v>
      </c>
      <c r="H251" s="3" t="str">
        <v>Переадресация не обнаружена</v>
      </c>
    </row>
    <row r="252" ht="48" customHeight="1">
      <c r="A252" s="8" t="n">
        <v>251</v>
      </c>
      <c r="B252" s="3" t="str">
        <v>Нидерланды</v>
      </c>
      <c r="C252" s="3" t="str">
        <v>Onderzoekschool Wijsbegeerte (OZSW)</v>
      </c>
      <c r="D252" s="3" t="str">
        <v>FISP: прямое национальное членство</v>
      </c>
      <c r="E252" s="7" t="str">
        <v>https://www.fisp.org/members/national-societies</v>
      </c>
      <c r="F252" s="3" t="str">
        <v>Открыт; HTTP 200</v>
      </c>
      <c r="G252" s="6" t="n">
        <v>46300</v>
      </c>
      <c r="H252" s="3" t="str">
        <v>Переадресация не обнаружена</v>
      </c>
    </row>
    <row r="253" ht="48" customHeight="1">
      <c r="A253" s="8" t="n">
        <v>252</v>
      </c>
      <c r="B253" s="3" t="str">
        <v>Нидерланды</v>
      </c>
      <c r="C253" s="3" t="str">
        <v>Onderzoekschool Wijsbegeerte (OZSW)</v>
      </c>
      <c r="D253" s="3" t="str">
        <v>Официальный сайт</v>
      </c>
      <c r="E253" s="7" t="str">
        <v>https://www.ozsw.nl/</v>
      </c>
      <c r="F253" s="3" t="str">
        <v>Открыт; HTTP 200</v>
      </c>
      <c r="G253" s="6" t="n">
        <v>46300</v>
      </c>
      <c r="H253" s="3" t="str">
        <v>Переадресация не обнаружена</v>
      </c>
    </row>
    <row r="254" ht="48" customHeight="1">
      <c r="A254" s="8" t="n">
        <v>253</v>
      </c>
      <c r="B254" s="3" t="str">
        <v>Нидерланды</v>
      </c>
      <c r="C254" s="3" t="str">
        <v>Onderzoekschool Wijsbegeerte (OZSW)</v>
      </c>
      <c r="D254" s="3" t="str">
        <v>Национальный статус; Руководство</v>
      </c>
      <c r="E254" s="7" t="str">
        <v>https://www.ozsw.nl/about-the-ozsw/</v>
      </c>
      <c r="F254" s="3" t="str">
        <v>Открыт; HTTP 200</v>
      </c>
      <c r="G254" s="6" t="n">
        <v>46300</v>
      </c>
      <c r="H254" s="3" t="str">
        <v>Переадресация не обнаружена</v>
      </c>
    </row>
    <row r="255" ht="48" customHeight="1">
      <c r="A255" s="8" t="n">
        <v>254</v>
      </c>
      <c r="B255" s="3" t="str">
        <v>Новая Зеландия</v>
      </c>
      <c r="C255" s="3" t="str">
        <v>Охват страны</v>
      </c>
      <c r="D255" s="3" t="str">
        <v>Проверенный источник для поиска</v>
      </c>
      <c r="E255" s="7" t="str">
        <v>https://aap.org.au/about/Board</v>
      </c>
      <c r="F255" s="3" t="str">
        <v>Открыт; HTTP 200</v>
      </c>
      <c r="G255" s="6" t="n">
        <v>46300</v>
      </c>
      <c r="H255" s="3" t="str">
        <v>Переадресация не обнаружена</v>
      </c>
    </row>
    <row r="256" ht="48" customHeight="1">
      <c r="A256" s="8" t="n">
        <v>255</v>
      </c>
      <c r="B256" s="3" t="str">
        <v>ОАЭ</v>
      </c>
      <c r="C256" s="3" t="str">
        <v>Охват страны</v>
      </c>
      <c r="D256" s="3" t="str">
        <v>Проверенный источник для поиска</v>
      </c>
      <c r="E256" s="7" t="str">
        <v>https://culturalmap.gov.ae/ar/facilities/philosophy-house</v>
      </c>
      <c r="F256" s="3" t="str">
        <v>При проверке не открылся; HTTP 502</v>
      </c>
      <c r="G256" s="6" t="n">
        <v>46300</v>
      </c>
      <c r="H256" s="3" t="str">
        <v>Переадресация не обнаружена</v>
      </c>
    </row>
    <row r="257" ht="48" customHeight="1">
      <c r="A257" s="8" t="n">
        <v>256</v>
      </c>
      <c r="B257" s="3" t="str">
        <v>ОАЭ</v>
      </c>
      <c r="C257" s="3" t="str">
        <v>بيت الفلسفة</v>
      </c>
      <c r="D257" s="3" t="str">
        <v>Национальный статус</v>
      </c>
      <c r="E257" s="7" t="str">
        <v>https://culturalmap.gov.ae/ar/facilities/philosophy-house</v>
      </c>
      <c r="F257" s="3" t="str">
        <v>При проверке не открылся; HTTP 502</v>
      </c>
      <c r="G257" s="6" t="n">
        <v>46300</v>
      </c>
      <c r="H257" s="3" t="str">
        <v>Переадресация не обнаружена</v>
      </c>
    </row>
    <row r="258" ht="48" customHeight="1">
      <c r="A258" s="8" t="n">
        <v>257</v>
      </c>
      <c r="B258" s="3" t="str">
        <v>ОАЭ</v>
      </c>
      <c r="C258" s="3" t="str">
        <v>بيت الفلسفة</v>
      </c>
      <c r="D258" s="3" t="str">
        <v>Facebook</v>
      </c>
      <c r="E258" s="7" t="str">
        <v>https://www.facebook.com/philosophyhouse.ae</v>
      </c>
      <c r="F258" s="3" t="str">
        <v>Открыт; HTTP 200</v>
      </c>
      <c r="G258" s="6" t="n">
        <v>46300</v>
      </c>
      <c r="H258" s="3" t="str">
        <v>Переадресация не обнаружена</v>
      </c>
    </row>
    <row r="259" ht="48" customHeight="1">
      <c r="A259" s="8" t="n">
        <v>258</v>
      </c>
      <c r="B259" s="3" t="str">
        <v>ОАЭ</v>
      </c>
      <c r="C259" s="3" t="str">
        <v>بيت الفلسفة</v>
      </c>
      <c r="D259" s="3" t="str">
        <v>FISP: прямое национальное членство</v>
      </c>
      <c r="E259" s="7" t="str">
        <v>https://www.fisp.org/members/national-societies</v>
      </c>
      <c r="F259" s="3" t="str">
        <v>Открыт; HTTP 200</v>
      </c>
      <c r="G259" s="6" t="n">
        <v>46300</v>
      </c>
      <c r="H259" s="3" t="str">
        <v>Переадресация не обнаружена</v>
      </c>
    </row>
    <row r="260" ht="48" customHeight="1">
      <c r="A260" s="8" t="n">
        <v>259</v>
      </c>
      <c r="B260" s="3" t="str">
        <v>ОАЭ</v>
      </c>
      <c r="C260" s="3" t="str">
        <v>بيت الفلسفة</v>
      </c>
      <c r="D260" s="3" t="str">
        <v>Instagram</v>
      </c>
      <c r="E260" s="7" t="str">
        <v>https://www.instagram.com/philosophyhouse.ae/</v>
      </c>
      <c r="F260" s="3" t="str">
        <v>Открыт; HTTP 200</v>
      </c>
      <c r="G260" s="6" t="n">
        <v>46300</v>
      </c>
      <c r="H260" s="3" t="str">
        <v>Переадресация не обнаружена</v>
      </c>
    </row>
    <row r="261" ht="48" customHeight="1">
      <c r="A261" s="8" t="n">
        <v>260</v>
      </c>
      <c r="B261" s="3" t="str">
        <v>ОАЭ</v>
      </c>
      <c r="C261" s="3" t="str">
        <v>بيت الفلسفة</v>
      </c>
      <c r="D261" s="3" t="str">
        <v>Официальный сайт; Подтверждение официальных социальных сетей</v>
      </c>
      <c r="E261" s="7" t="str">
        <v>https://www.philosophyhouse.ae/</v>
      </c>
      <c r="F261" s="3" t="str">
        <v>Открыт; HTTP 200</v>
      </c>
      <c r="G261" s="6" t="n">
        <v>46300</v>
      </c>
      <c r="H261" s="7" t="str">
        <v>https://philosophyhouse.ae/</v>
      </c>
    </row>
    <row r="262" ht="48" customHeight="1">
      <c r="A262" s="8" t="n">
        <v>261</v>
      </c>
      <c r="B262" s="3" t="str">
        <v>ОАЭ</v>
      </c>
      <c r="C262" s="3" t="str">
        <v>بيت الفلسفة</v>
      </c>
      <c r="D262" s="3" t="str">
        <v>YouTube</v>
      </c>
      <c r="E262" s="7" t="str">
        <v>https://www.youtube.com/@philosophyhouse-ae</v>
      </c>
      <c r="F262" s="3" t="str">
        <v>Открыт; HTTP 200</v>
      </c>
      <c r="G262" s="6" t="n">
        <v>46300</v>
      </c>
      <c r="H262" s="7" t="str">
        <v>https://www.youtube.com/@philosophyhouse-ae?cbrd=1&amp;ucbcb=1</v>
      </c>
    </row>
    <row r="263" ht="48" customHeight="1">
      <c r="A263" s="8" t="n">
        <v>262</v>
      </c>
      <c r="B263" s="3" t="str">
        <v>ОАЭ</v>
      </c>
      <c r="C263" s="3" t="str">
        <v>بيت الفلسفة</v>
      </c>
      <c r="D263" s="3" t="str">
        <v>X / Twitter</v>
      </c>
      <c r="E263" s="7" t="str">
        <v>https://x.com/philosophy_UAE</v>
      </c>
      <c r="F263" s="3" t="str">
        <v>Открыт; HTTP 200</v>
      </c>
      <c r="G263" s="6" t="n">
        <v>46300</v>
      </c>
      <c r="H263" s="3" t="str">
        <v>Переадресация не обнаружена</v>
      </c>
    </row>
    <row r="264" ht="48" customHeight="1">
      <c r="A264" s="8" t="n">
        <v>263</v>
      </c>
      <c r="B264" s="3" t="str">
        <v>Панама</v>
      </c>
      <c r="C264" s="3" t="str">
        <v>Охват страны</v>
      </c>
      <c r="D264" s="3" t="str">
        <v>Проверенный источник для поиска</v>
      </c>
      <c r="E264" s="7" t="str">
        <v>https://rediberoamericanafilosofia.com/acafi/</v>
      </c>
      <c r="F264" s="3" t="str">
        <v>Открыт; HTTP 200</v>
      </c>
      <c r="G264" s="6" t="n">
        <v>46300</v>
      </c>
      <c r="H264" s="3" t="str">
        <v>Переадресация не обнаружена</v>
      </c>
    </row>
    <row r="265" ht="48" customHeight="1">
      <c r="A265" s="8" t="n">
        <v>264</v>
      </c>
      <c r="B265" s="3" t="str">
        <v>Панама</v>
      </c>
      <c r="C265" s="3" t="str">
        <v>Asociación Panameña de Filosofía</v>
      </c>
      <c r="D265" s="3" t="str">
        <v>Кандидат исключен из основного реестра</v>
      </c>
      <c r="E265" s="7" t="str">
        <v>https://azurrevista.com/wp-content/uploads/2026/08/1_Acta-del-XIV-Congreso-Centroamericano-de-Filosofia.html</v>
      </c>
      <c r="F265" s="3" t="str">
        <v>Открыт; HTTP 206</v>
      </c>
      <c r="G265" s="6" t="n">
        <v>46300</v>
      </c>
      <c r="H265" s="3" t="str">
        <v>Переадресация не обнаружена</v>
      </c>
    </row>
    <row r="266" ht="48" customHeight="1">
      <c r="A266" s="8" t="n">
        <v>265</v>
      </c>
      <c r="B266" s="3" t="str">
        <v>Парагвай</v>
      </c>
      <c r="C266" s="3" t="str">
        <v>Sociedad Paraguaya de Filosofía</v>
      </c>
      <c r="D266" s="3" t="str">
        <v>Дополнительное подтверждение</v>
      </c>
      <c r="E266" s="7" t="str">
        <v>https://cienciasdelsur.com/2018/03/09/sociedad-paraguaya-de-filosofia-saber-avanzar/</v>
      </c>
      <c r="F266" s="3" t="str">
        <v>Открыт; HTTP 200</v>
      </c>
      <c r="G266" s="6" t="n">
        <v>46300</v>
      </c>
      <c r="H266" s="3" t="str">
        <v>Переадресация не обнаружена</v>
      </c>
    </row>
    <row r="267" ht="48" customHeight="1">
      <c r="A267" s="8" t="n">
        <v>266</v>
      </c>
      <c r="B267" s="3" t="str">
        <v>Парагвай</v>
      </c>
      <c r="C267" s="3" t="str">
        <v>Sociedad Paraguaya de Filosofía</v>
      </c>
      <c r="D267" s="3" t="str">
        <v>Национальный статус</v>
      </c>
      <c r="E267" s="7" t="str">
        <v>https://cifpy.wordpress.com/institucional/</v>
      </c>
      <c r="F267" s="3" t="str">
        <v>Открыт; HTTP 200</v>
      </c>
      <c r="G267" s="6" t="n">
        <v>46300</v>
      </c>
      <c r="H267" s="3" t="str">
        <v>Переадресация не обнаружена</v>
      </c>
    </row>
    <row r="268" ht="48" customHeight="1">
      <c r="A268" s="8" t="n">
        <v>267</v>
      </c>
      <c r="B268" s="3" t="str">
        <v>Парагвай</v>
      </c>
      <c r="C268" s="3" t="str">
        <v>Sociedad Paraguaya de Filosofía</v>
      </c>
      <c r="D268" s="3" t="str">
        <v>Дополнительное подтверждение</v>
      </c>
      <c r="E268" s="7" t="str">
        <v>https://elnacional.com.py/agenda-cultural/ciclo-virtual-conferencias-torno-etica-politica-n75970</v>
      </c>
      <c r="F268" s="3" t="str">
        <v>Открыт; HTTP 200</v>
      </c>
      <c r="G268" s="6" t="n">
        <v>46300</v>
      </c>
      <c r="H268" s="3" t="str">
        <v>Переадресация не обнаружена</v>
      </c>
    </row>
    <row r="269" ht="48" customHeight="1">
      <c r="A269" s="8" t="n">
        <v>268</v>
      </c>
      <c r="B269" s="3" t="str">
        <v>Перу</v>
      </c>
      <c r="C269" s="3" t="str">
        <v>Охват страны</v>
      </c>
      <c r="D269" s="3" t="str">
        <v>Проверенный источник для поиска</v>
      </c>
      <c r="E269" s="7" t="str">
        <v>https://sociedadperuanadefilosofia.org.pe/nuestra-historia/</v>
      </c>
      <c r="F269" s="3" t="str">
        <v>При проверке не открылся; HTTP 500</v>
      </c>
      <c r="G269" s="6" t="n">
        <v>46300</v>
      </c>
      <c r="H269" s="3" t="str">
        <v>Переадресация не обнаружена</v>
      </c>
    </row>
    <row r="270" ht="48" customHeight="1">
      <c r="A270" s="8" t="n">
        <v>269</v>
      </c>
      <c r="B270" s="3" t="str">
        <v>Перу</v>
      </c>
      <c r="C270" s="3" t="str">
        <v>Sociedad Peruana de Filosofía</v>
      </c>
      <c r="D270" s="3" t="str">
        <v>Руководство</v>
      </c>
      <c r="E270" s="7" t="str">
        <v>https://elperuano.pe/noticia/295932-lo-peruano-sigue-siendo-un-desafio</v>
      </c>
      <c r="F270" s="3" t="str">
        <v>Открыт; HTTP 200</v>
      </c>
      <c r="G270" s="6" t="n">
        <v>46300</v>
      </c>
      <c r="H270" s="3" t="str">
        <v>Переадресация не обнаружена</v>
      </c>
    </row>
    <row r="271" ht="48" customHeight="1">
      <c r="A271" s="8" t="n">
        <v>270</v>
      </c>
      <c r="B271" s="3" t="str">
        <v>Перу</v>
      </c>
      <c r="C271" s="3" t="str">
        <v>Sociedad Peruana de Filosofía</v>
      </c>
      <c r="D271" s="3" t="str">
        <v>Официальный сайт</v>
      </c>
      <c r="E271" s="7" t="str">
        <v>https://sociedadperuanadefilosofia.org.pe/</v>
      </c>
      <c r="F271" s="3" t="str">
        <v>При проверке не открылся; HTTP 500</v>
      </c>
      <c r="G271" s="6" t="n">
        <v>46300</v>
      </c>
      <c r="H271" s="3" t="str">
        <v>Переадресация не обнаружена</v>
      </c>
    </row>
    <row r="272" ht="48" customHeight="1">
      <c r="A272" s="8" t="n">
        <v>271</v>
      </c>
      <c r="B272" s="3" t="str">
        <v>Перу</v>
      </c>
      <c r="C272" s="3" t="str">
        <v>Sociedad Peruana de Filosofía</v>
      </c>
      <c r="D272" s="3" t="str">
        <v>Национальный статус</v>
      </c>
      <c r="E272" s="7" t="str">
        <v>https://sociedadperuanadefilosofia.org.pe/nuestra-historia/</v>
      </c>
      <c r="F272" s="3" t="str">
        <v>При проверке не открылся; HTTP 500</v>
      </c>
      <c r="G272" s="6" t="n">
        <v>46300</v>
      </c>
      <c r="H272" s="3" t="str">
        <v>Переадресация не обнаружена</v>
      </c>
    </row>
    <row r="273" ht="48" customHeight="1">
      <c r="A273" s="8" t="n">
        <v>272</v>
      </c>
      <c r="B273" s="3" t="str">
        <v>Польша</v>
      </c>
      <c r="C273" s="3" t="str">
        <v>Охват страны</v>
      </c>
      <c r="D273" s="3" t="str">
        <v>Проверенный источник для поиска</v>
      </c>
      <c r="E273" s="7" t="str">
        <v>https://ptfilozofia.pl/strony-ptf/ptf-statut/</v>
      </c>
      <c r="F273" s="3" t="str">
        <v>Открыт; HTTP 200</v>
      </c>
      <c r="G273" s="6" t="n">
        <v>46300</v>
      </c>
      <c r="H273" s="3" t="str">
        <v>Переадресация не обнаружена</v>
      </c>
    </row>
    <row r="274" ht="48" customHeight="1">
      <c r="A274" s="8" t="n">
        <v>273</v>
      </c>
      <c r="B274" s="3" t="str">
        <v>Польша</v>
      </c>
      <c r="C274" s="3" t="str">
        <v>Polskie Towarzystwo Filozoficzne</v>
      </c>
      <c r="D274" s="3" t="str">
        <v>Официальный сайт</v>
      </c>
      <c r="E274" s="7" t="str">
        <v>https://ptfilozofia.pl/</v>
      </c>
      <c r="F274" s="3" t="str">
        <v>Открыт; HTTP 200</v>
      </c>
      <c r="G274" s="6" t="n">
        <v>46300</v>
      </c>
      <c r="H274" s="3" t="str">
        <v>Переадресация не обнаружена</v>
      </c>
    </row>
    <row r="275" ht="48" customHeight="1">
      <c r="A275" s="8" t="n">
        <v>274</v>
      </c>
      <c r="B275" s="3" t="str">
        <v>Польша</v>
      </c>
      <c r="C275" s="3" t="str">
        <v>Polskie Towarzystwo Filozoficzne</v>
      </c>
      <c r="D275" s="3" t="str">
        <v>Национальный статус</v>
      </c>
      <c r="E275" s="7" t="str">
        <v>https://ptfilozofia.pl/strony-ptf/ptf-statut/</v>
      </c>
      <c r="F275" s="3" t="str">
        <v>Открыт; HTTP 200</v>
      </c>
      <c r="G275" s="6" t="n">
        <v>46300</v>
      </c>
      <c r="H275" s="3" t="str">
        <v>Переадресация не обнаружена</v>
      </c>
    </row>
    <row r="276" ht="48" customHeight="1">
      <c r="A276" s="8" t="n">
        <v>275</v>
      </c>
      <c r="B276" s="3" t="str">
        <v>Польша</v>
      </c>
      <c r="C276" s="3" t="str">
        <v>Polskie Towarzystwo Filozoficzne</v>
      </c>
      <c r="D276" s="3" t="str">
        <v>Основной журнал</v>
      </c>
      <c r="E276" s="7" t="str">
        <v>https://ptfilozofia.pl/strony-ptf/ptf-wydawnictwa/</v>
      </c>
      <c r="F276" s="3" t="str">
        <v>Открыт; HTTP 200</v>
      </c>
      <c r="G276" s="6" t="n">
        <v>46300</v>
      </c>
      <c r="H276" s="3" t="str">
        <v>Переадресация не обнаружена</v>
      </c>
    </row>
    <row r="277" ht="48" customHeight="1">
      <c r="A277" s="8" t="n">
        <v>276</v>
      </c>
      <c r="B277" s="3" t="str">
        <v>Польша</v>
      </c>
      <c r="C277" s="3" t="str">
        <v>Polskie Towarzystwo Filozoficzne</v>
      </c>
      <c r="D277" s="3" t="str">
        <v>Руководство</v>
      </c>
      <c r="E277" s="7" t="str">
        <v>https://ptfilozofia.pl/strony-ptf/ptf-zarzad/</v>
      </c>
      <c r="F277" s="3" t="str">
        <v>Открыт; HTTP 200</v>
      </c>
      <c r="G277" s="6" t="n">
        <v>46300</v>
      </c>
      <c r="H277" s="3" t="str">
        <v>Переадресация не обнаружена</v>
      </c>
    </row>
    <row r="278" ht="48" customHeight="1">
      <c r="A278" s="8" t="n">
        <v>277</v>
      </c>
      <c r="B278" s="3" t="str">
        <v>Польша</v>
      </c>
      <c r="C278" s="3" t="str">
        <v>Polskie Towarzystwo Filozoficzne</v>
      </c>
      <c r="D278" s="3" t="str">
        <v>FISP: прямое национальное членство</v>
      </c>
      <c r="E278" s="7" t="str">
        <v>https://www.fisp.org/members/national-societies</v>
      </c>
      <c r="F278" s="3" t="str">
        <v>Открыт; HTTP 200</v>
      </c>
      <c r="G278" s="6" t="n">
        <v>46300</v>
      </c>
      <c r="H278" s="3" t="str">
        <v>Переадресация не обнаружена</v>
      </c>
    </row>
    <row r="279" ht="48" customHeight="1">
      <c r="A279" s="8" t="n">
        <v>278</v>
      </c>
      <c r="B279" s="3" t="str">
        <v>Португалия</v>
      </c>
      <c r="C279" s="3" t="str">
        <v>Охват страны</v>
      </c>
      <c r="D279" s="3" t="str">
        <v>Проверенный источник для поиска</v>
      </c>
      <c r="E279" s="7" t="str">
        <v>https://www.spfil.pt/sobre/</v>
      </c>
      <c r="F279" s="3" t="str">
        <v>При проверке не открылся; HTTP 404</v>
      </c>
      <c r="G279" s="6" t="n">
        <v>46300</v>
      </c>
      <c r="H279" s="3" t="str">
        <v>Переадресация не обнаружена</v>
      </c>
    </row>
    <row r="280" ht="48" customHeight="1">
      <c r="A280" s="8" t="n">
        <v>279</v>
      </c>
      <c r="B280" s="3" t="str">
        <v>Португалия</v>
      </c>
      <c r="C280" s="3" t="str">
        <v>Sociedade Portuguesa de Filosofia</v>
      </c>
      <c r="D280" s="3" t="str">
        <v>Facebook</v>
      </c>
      <c r="E280" s="7" t="str">
        <v>https://www.facebook.com/Sociedade-Portuguesa-de-Filosofia-343152035785797/</v>
      </c>
      <c r="F280" s="3" t="str">
        <v>Открыт; HTTP 200</v>
      </c>
      <c r="G280" s="6" t="n">
        <v>46300</v>
      </c>
      <c r="H280" s="7" t="str">
        <v>https://www.facebook.com/login/?next=https%3A%2F%2Fwww.facebook.com%2FSociedade-Portuguesa-de-Filosofia-343152035785797%2F</v>
      </c>
    </row>
    <row r="281" ht="48" customHeight="1">
      <c r="A281" s="8" t="n">
        <v>280</v>
      </c>
      <c r="B281" s="3" t="str">
        <v>Португалия</v>
      </c>
      <c r="C281" s="3" t="str">
        <v>Sociedade Portuguesa de Filosofia</v>
      </c>
      <c r="D281" s="3" t="str">
        <v>FISP: прямое национальное членство</v>
      </c>
      <c r="E281" s="7" t="str">
        <v>https://www.fisp.org/members/national-societies</v>
      </c>
      <c r="F281" s="3" t="str">
        <v>Открыт; HTTP 200</v>
      </c>
      <c r="G281" s="6" t="n">
        <v>46300</v>
      </c>
      <c r="H281" s="3" t="str">
        <v>Переадресация не обнаружена</v>
      </c>
    </row>
    <row r="282" ht="48" customHeight="1">
      <c r="A282" s="8" t="n">
        <v>281</v>
      </c>
      <c r="B282" s="3" t="str">
        <v>Португалия</v>
      </c>
      <c r="C282" s="3" t="str">
        <v>Sociedade Portuguesa de Filosofia</v>
      </c>
      <c r="D282" s="3" t="str">
        <v>Официальный сайт; Национальный статус; Подтверждение официальных социальных сетей</v>
      </c>
      <c r="E282" s="7" t="str">
        <v>https://www.spfil.pt/</v>
      </c>
      <c r="F282" s="3" t="str">
        <v>Открыт; HTTP 200</v>
      </c>
      <c r="G282" s="6" t="n">
        <v>46300</v>
      </c>
      <c r="H282" s="3" t="str">
        <v>Переадресация не обнаружена</v>
      </c>
    </row>
    <row r="283" ht="48" customHeight="1">
      <c r="A283" s="8" t="n">
        <v>282</v>
      </c>
      <c r="B283" s="3" t="str">
        <v>Португалия</v>
      </c>
      <c r="C283" s="3" t="str">
        <v>Sociedade Portuguesa de Filosofia</v>
      </c>
      <c r="D283" s="3" t="str">
        <v>Руководство</v>
      </c>
      <c r="E283" s="7" t="str">
        <v>https://www.spfil.pt/orgaos</v>
      </c>
      <c r="F283" s="3" t="str">
        <v>Открыт; HTTP 200</v>
      </c>
      <c r="G283" s="6" t="n">
        <v>46300</v>
      </c>
      <c r="H283" s="3" t="str">
        <v>Переадресация не обнаружена</v>
      </c>
    </row>
    <row r="284" ht="48" customHeight="1">
      <c r="A284" s="8" t="n">
        <v>283</v>
      </c>
      <c r="B284" s="3" t="str">
        <v>Россия</v>
      </c>
      <c r="C284" s="3" t="str">
        <v>Охват страны</v>
      </c>
      <c r="D284" s="3" t="str">
        <v>Проверенный источник для поиска</v>
      </c>
      <c r="E284" s="7" t="str">
        <v>https://www.fisp.org/members/national-societies</v>
      </c>
      <c r="F284" s="3" t="str">
        <v>Открыт; HTTP 200</v>
      </c>
      <c r="G284" s="6" t="n">
        <v>46300</v>
      </c>
      <c r="H284" s="3" t="str">
        <v>Переадресация не обнаружена</v>
      </c>
    </row>
    <row r="285" ht="48" customHeight="1">
      <c r="A285" s="8" t="n">
        <v>284</v>
      </c>
      <c r="B285" s="3" t="str">
        <v>Россия</v>
      </c>
      <c r="C285" s="3" t="str">
        <v>Российское философское общество</v>
      </c>
      <c r="D285" s="3" t="str">
        <v>Национальный статус; FISP: прямое национальное членство</v>
      </c>
      <c r="E285" s="7" t="str">
        <v>https://www.fisp.org/members/national-societies</v>
      </c>
      <c r="F285" s="3" t="str">
        <v>Открыт; HTTP 200</v>
      </c>
      <c r="G285" s="6" t="n">
        <v>46300</v>
      </c>
      <c r="H285" s="3" t="str">
        <v>Переадресация не обнаружена</v>
      </c>
    </row>
    <row r="286" ht="48" customHeight="1">
      <c r="A286" s="8" t="n">
        <v>285</v>
      </c>
      <c r="B286" s="3" t="str">
        <v>Россия</v>
      </c>
      <c r="C286" s="3" t="str">
        <v>Российское философское общество</v>
      </c>
      <c r="D286" s="3" t="str">
        <v>Официальный сайт</v>
      </c>
      <c r="E286" s="7" t="str">
        <v>https://xn--n1adm.xn--p1acf/</v>
      </c>
      <c r="F286" s="3" t="str">
        <v>Открыт; HTTP 206</v>
      </c>
      <c r="G286" s="6" t="n">
        <v>46300</v>
      </c>
      <c r="H286" s="3" t="str">
        <v>Переадресация не обнаружена</v>
      </c>
    </row>
    <row r="287" ht="48" customHeight="1">
      <c r="A287" s="8" t="n">
        <v>286</v>
      </c>
      <c r="B287" s="3" t="str">
        <v>Россия</v>
      </c>
      <c r="C287" s="3" t="str">
        <v>Российское философское общество</v>
      </c>
      <c r="D287" s="3" t="str">
        <v>Основной журнал</v>
      </c>
      <c r="E287" s="7" t="str">
        <v>https://xn--n1adm.xn--p1acf/%d0%bd%d0%be%d0%b2%d1%8b%d0%b9-%d0%b2%d1%8b%d0%bf%d1%83%d1%81%d0%ba/</v>
      </c>
      <c r="F287" s="3" t="str">
        <v>Открыт; HTTP 200</v>
      </c>
      <c r="G287" s="6" t="n">
        <v>46300</v>
      </c>
      <c r="H287" s="3" t="str">
        <v>Переадресация не обнаружена</v>
      </c>
    </row>
    <row r="288" ht="48" customHeight="1">
      <c r="A288" s="8" t="n">
        <v>287</v>
      </c>
      <c r="B288" s="3" t="str">
        <v>Россия</v>
      </c>
      <c r="C288" s="3" t="str">
        <v>Российское философское общество</v>
      </c>
      <c r="D288" s="3" t="str">
        <v>Руководство</v>
      </c>
      <c r="E288" s="7" t="str">
        <v>https://xn--n1adm.xn--p1acf/2026/06/ix-%D1%80%D0%BE%D1%81%D1%81%D0%B8%D0%B9%D1%81%D0%BA%D0%B8%D0%B9-%D1%84%D0%B8%D0%BB%D0%BE%D1%81%D0%BE%D1%84%D1%81%D0%BA%D0%B8%D0%B9-%D0%BA%D0%BE%D0%BD%D0%B3%D1%80%D0%B5%D1%81%D1%81-%D1%84%D0%B8-2/</v>
      </c>
      <c r="F288" s="3" t="str">
        <v>Открыт; HTTP 200</v>
      </c>
      <c r="G288" s="6" t="n">
        <v>46300</v>
      </c>
      <c r="H288" s="3" t="str">
        <v>Переадресация не обнаружена</v>
      </c>
    </row>
    <row r="289" ht="48" customHeight="1">
      <c r="A289" s="8" t="n">
        <v>288</v>
      </c>
      <c r="B289" s="3" t="str">
        <v>Руанда</v>
      </c>
      <c r="C289" s="3" t="str">
        <v>Охват страны</v>
      </c>
      <c r="D289" s="3" t="str">
        <v>Проверенный источник для поиска</v>
      </c>
      <c r="E289" s="7" t="str">
        <v>https://www.unesco.rw/IMG/pdf/007_december_2016.pdf</v>
      </c>
      <c r="F289" s="3" t="str">
        <v>При проверке не открылся; HTTP 502</v>
      </c>
      <c r="G289" s="6" t="n">
        <v>46300</v>
      </c>
      <c r="H289" s="3" t="str">
        <v>Переадресация не обнаружена</v>
      </c>
    </row>
    <row r="290" ht="48" customHeight="1">
      <c r="A290" s="8" t="n">
        <v>289</v>
      </c>
      <c r="B290" s="3" t="str">
        <v>Руанда</v>
      </c>
      <c r="C290" s="3" t="str">
        <v>Association Rwandaise pour la Philosophie</v>
      </c>
      <c r="D290" s="3" t="str">
        <v>Национальный статус</v>
      </c>
      <c r="E290" s="7" t="str">
        <v>https://www.unesco.rw/IMG/pdf/007_december_2016.pdf</v>
      </c>
      <c r="F290" s="3" t="str">
        <v>При проверке не открылся; HTTP 502</v>
      </c>
      <c r="G290" s="6" t="n">
        <v>46300</v>
      </c>
      <c r="H290" s="3" t="str">
        <v>Переадресация не обнаружена</v>
      </c>
    </row>
    <row r="291" ht="48" customHeight="1">
      <c r="A291" s="8" t="n">
        <v>290</v>
      </c>
      <c r="B291" s="3" t="str">
        <v>Румыния</v>
      </c>
      <c r="C291" s="3" t="str">
        <v>Охват страны</v>
      </c>
      <c r="D291" s="3" t="str">
        <v>Проверенный источник для поиска</v>
      </c>
      <c r="E291" s="7" t="str">
        <v>https://srfil.org/</v>
      </c>
      <c r="F291" s="3" t="str">
        <v>Открыт; HTTP 200</v>
      </c>
      <c r="G291" s="6" t="n">
        <v>46300</v>
      </c>
      <c r="H291" s="3" t="str">
        <v>Переадресация не обнаружена</v>
      </c>
    </row>
    <row r="292" ht="48" customHeight="1">
      <c r="A292" s="8" t="n">
        <v>291</v>
      </c>
      <c r="B292" s="3" t="str">
        <v>Румыния</v>
      </c>
      <c r="C292" s="3" t="str">
        <v>Societatea Română de Filosofie</v>
      </c>
      <c r="D292" s="3" t="str">
        <v>Кандидат исключен из основного реестра; Сайт исключенного кандидата</v>
      </c>
      <c r="E292" s="7" t="str">
        <v>https://srfil.org/</v>
      </c>
      <c r="F292" s="3" t="str">
        <v>Открыт; HTTP 200</v>
      </c>
      <c r="G292" s="6" t="n">
        <v>46300</v>
      </c>
      <c r="H292" s="3" t="str">
        <v>Переадресация не обнаружена</v>
      </c>
    </row>
    <row r="293" ht="48" customHeight="1">
      <c r="A293" s="8" t="n">
        <v>292</v>
      </c>
      <c r="B293" s="3" t="str">
        <v>Сальвадор</v>
      </c>
      <c r="C293" s="3" t="str">
        <v>Охват страны</v>
      </c>
      <c r="D293" s="3" t="str">
        <v>Проверенный источник для поиска</v>
      </c>
      <c r="E293" s="7" t="str">
        <v>https://rediberoamericanafilosofia.com/acafi/</v>
      </c>
      <c r="F293" s="3" t="str">
        <v>Открыт; HTTP 200</v>
      </c>
      <c r="G293" s="6" t="n">
        <v>46300</v>
      </c>
      <c r="H293" s="3" t="str">
        <v>Переадресация не обнаружена</v>
      </c>
    </row>
    <row r="294" ht="48" customHeight="1">
      <c r="A294" s="8" t="n">
        <v>293</v>
      </c>
      <c r="B294" s="3" t="str">
        <v>Сальвадор</v>
      </c>
      <c r="C294" s="3" t="str">
        <v>Asociación Salvadoreña de Filosofía</v>
      </c>
      <c r="D294" s="3" t="str">
        <v>Основной журнал</v>
      </c>
      <c r="E294" s="7" t="str">
        <v>https://azurrevista.com/</v>
      </c>
      <c r="F294" s="3" t="str">
        <v>Открыт; HTTP 200</v>
      </c>
      <c r="G294" s="6" t="n">
        <v>46300</v>
      </c>
      <c r="H294" s="3" t="str">
        <v>Переадресация не обнаружена</v>
      </c>
    </row>
    <row r="295" ht="48" customHeight="1">
      <c r="A295" s="8" t="n">
        <v>294</v>
      </c>
      <c r="B295" s="3" t="str">
        <v>Сальвадор</v>
      </c>
      <c r="C295" s="3" t="str">
        <v>Asociación Salvadoreña de Filosofía</v>
      </c>
      <c r="D295" s="3" t="str">
        <v>Национальный статус</v>
      </c>
      <c r="E295" s="7" t="str">
        <v>https://azurrevista.com/wp-content/uploads/2026/08/1_Acta-del-XIV-Congreso-Centroamericano-de-Filosofia.html</v>
      </c>
      <c r="F295" s="3" t="str">
        <v>Открыт; HTTP 206</v>
      </c>
      <c r="G295" s="6" t="n">
        <v>46300</v>
      </c>
      <c r="H295" s="3" t="str">
        <v>Переадресация не обнаружена</v>
      </c>
    </row>
    <row r="296" ht="48" customHeight="1">
      <c r="A296" s="8" t="n">
        <v>295</v>
      </c>
      <c r="B296" s="3" t="str">
        <v>Саудовская Аравия</v>
      </c>
      <c r="C296" s="3" t="str">
        <v>Охват страны</v>
      </c>
      <c r="D296" s="3" t="str">
        <v>Проверенный источник для поиска</v>
      </c>
      <c r="E296" s="7" t="str">
        <v>https://saudiphilosophy.com/about/?lang=ar</v>
      </c>
      <c r="F296" s="3" t="str">
        <v>Открыт; HTTP 200</v>
      </c>
      <c r="G296" s="6" t="n">
        <v>46300</v>
      </c>
      <c r="H296" s="3" t="str">
        <v>Переадресация не обнаружена</v>
      </c>
    </row>
    <row r="297" ht="48" customHeight="1">
      <c r="A297" s="8" t="n">
        <v>296</v>
      </c>
      <c r="B297" s="3" t="str">
        <v>Саудовская Аравия</v>
      </c>
      <c r="C297" s="3" t="str">
        <v>جمعية الفلسفة</v>
      </c>
      <c r="D297" s="3" t="str">
        <v>Официальный сайт; Подтверждение официальных социальных сетей</v>
      </c>
      <c r="E297" s="7" t="str">
        <v>https://saudiphilosophy.com/?lang=ar</v>
      </c>
      <c r="F297" s="3" t="str">
        <v>Открыт; HTTP 200</v>
      </c>
      <c r="G297" s="6" t="n">
        <v>46300</v>
      </c>
      <c r="H297" s="3" t="str">
        <v>Переадресация не обнаружена</v>
      </c>
    </row>
    <row r="298" ht="48" customHeight="1">
      <c r="A298" s="8" t="n">
        <v>297</v>
      </c>
      <c r="B298" s="3" t="str">
        <v>Саудовская Аравия</v>
      </c>
      <c r="C298" s="3" t="str">
        <v>جمعية الفلسفة</v>
      </c>
      <c r="D298" s="3" t="str">
        <v>Национальный статус</v>
      </c>
      <c r="E298" s="7" t="str">
        <v>https://saudiphilosophy.com/about/?lang=ar</v>
      </c>
      <c r="F298" s="3" t="str">
        <v>Открыт; HTTP 200</v>
      </c>
      <c r="G298" s="6" t="n">
        <v>46300</v>
      </c>
      <c r="H298" s="3" t="str">
        <v>Переадресация не обнаружена</v>
      </c>
    </row>
    <row r="299" ht="48" customHeight="1">
      <c r="A299" s="8" t="n">
        <v>298</v>
      </c>
      <c r="B299" s="3" t="str">
        <v>Саудовская Аравия</v>
      </c>
      <c r="C299" s="3" t="str">
        <v>جمعية الفلسفة</v>
      </c>
      <c r="D299" s="3" t="str">
        <v>Руководство</v>
      </c>
      <c r="E299" s="7" t="str">
        <v>https://saudiphilosophy.com/wp-content/uploads/2024/11/PHOTO-2024-11-06-08-36-23.jpg</v>
      </c>
      <c r="F299" s="3" t="str">
        <v>Открыт; HTTP 206</v>
      </c>
      <c r="G299" s="6" t="n">
        <v>46300</v>
      </c>
      <c r="H299" s="3" t="str">
        <v>Переадресация не обнаружена</v>
      </c>
    </row>
    <row r="300" ht="48" customHeight="1">
      <c r="A300" s="8" t="n">
        <v>299</v>
      </c>
      <c r="B300" s="3" t="str">
        <v>Саудовская Аравия</v>
      </c>
      <c r="C300" s="3" t="str">
        <v>جمعية الفلسفة</v>
      </c>
      <c r="D300" s="3" t="str">
        <v>X / Twitter</v>
      </c>
      <c r="E300" s="7" t="str">
        <v>https://twitter.com/PhilosophySaudi</v>
      </c>
      <c r="F300" s="3" t="str">
        <v>Открыт; HTTP 200</v>
      </c>
      <c r="G300" s="6" t="n">
        <v>46300</v>
      </c>
      <c r="H300" s="7" t="str">
        <v>https://x.com/PhilosophySaudi</v>
      </c>
    </row>
    <row r="301" ht="48" customHeight="1">
      <c r="A301" s="8" t="n">
        <v>300</v>
      </c>
      <c r="B301" s="3" t="str">
        <v>Саудовская Аравия</v>
      </c>
      <c r="C301" s="3" t="str">
        <v>جمعية الفلسفة</v>
      </c>
      <c r="D301" s="3" t="str">
        <v>Facebook</v>
      </c>
      <c r="E301" s="7" t="str">
        <v>https://www.facebook.com/%D8%AC%D9%85%D8%B9%D9%8A%D8%A9-%D8%A7%D9%84%D9%81%D9%84%D8%B3%D9%81%D8%A9-105731148432942</v>
      </c>
      <c r="F301" s="3" t="str">
        <v>Открыт; HTTP 200</v>
      </c>
      <c r="G301" s="6" t="n">
        <v>46300</v>
      </c>
      <c r="H301" s="7" t="str">
        <v>https://www.facebook.com/login/?next=https%3A%2F%2Fwww.facebook.com%2F%25D8%25AC%25D9%2585%25D8%25B9%25D9%258A%25D8%25A9-%25D8%25A7%25D9%2584%25D9%2581%25D9%2584%25D8%25B3%25D9%2581%25D8%25A9-105731148432942</v>
      </c>
    </row>
    <row r="302" ht="48" customHeight="1">
      <c r="A302" s="8" t="n">
        <v>301</v>
      </c>
      <c r="B302" s="3" t="str">
        <v>Саудовская Аравия</v>
      </c>
      <c r="C302" s="3" t="str">
        <v>جمعية الفلسفة</v>
      </c>
      <c r="D302" s="3" t="str">
        <v>Instagram</v>
      </c>
      <c r="E302" s="7" t="str">
        <v>https://www.instagram.com/philosophysaudi/</v>
      </c>
      <c r="F302" s="3" t="str">
        <v>Открыт; HTTP 200</v>
      </c>
      <c r="G302" s="6" t="n">
        <v>46300</v>
      </c>
      <c r="H302" s="3" t="str">
        <v>Переадресация не обнаружена</v>
      </c>
    </row>
    <row r="303" ht="48" customHeight="1">
      <c r="A303" s="8" t="n">
        <v>302</v>
      </c>
      <c r="B303" s="3" t="str">
        <v>Саудовская Аравия</v>
      </c>
      <c r="C303" s="3" t="str">
        <v>جمعية الفلسفة</v>
      </c>
      <c r="D303" s="3" t="str">
        <v>YouTube</v>
      </c>
      <c r="E303" s="7" t="str">
        <v>https://www.youtube.com/channel/UCrErglr0qSJCY03zAAQT7lA</v>
      </c>
      <c r="F303" s="3" t="str">
        <v>Автоматический доступ ограничен; HTTP 429</v>
      </c>
      <c r="G303" s="6" t="n">
        <v>46300</v>
      </c>
      <c r="H303" s="7" t="str">
        <v>https://www.google.com/sorry/index?continue=https://www.youtube.com/channel/UCrErglr0qSJCY03zAAQT7lA&amp;q=EhAqE5UAAeQARQAAAAACLQCVGNayjtYGIjCqNzXvWH0zwaqK4iUtLl1fvyteu96wR22enBw-IqBD3dM6Ob2cetUW7AiGeHLtg-QyAnJSWgFD</v>
      </c>
    </row>
    <row r="304" ht="48" customHeight="1">
      <c r="A304" s="8" t="n">
        <v>303</v>
      </c>
      <c r="B304" s="3" t="str">
        <v>Северная Македония</v>
      </c>
      <c r="C304" s="3" t="str">
        <v>Охват страны</v>
      </c>
      <c r="D304" s="3" t="str">
        <v>Проверенный источник для поиска</v>
      </c>
      <c r="E304" s="7" t="str">
        <v>https://fdm.mk/za-nas/</v>
      </c>
      <c r="F304" s="3" t="str">
        <v>Открыт; HTTP 200</v>
      </c>
      <c r="G304" s="6" t="n">
        <v>46300</v>
      </c>
      <c r="H304" s="3" t="str">
        <v>Переадресация не обнаружена</v>
      </c>
    </row>
    <row r="305" ht="48" customHeight="1">
      <c r="A305" s="8" t="n">
        <v>304</v>
      </c>
      <c r="B305" s="3" t="str">
        <v>Северная Македония</v>
      </c>
      <c r="C305" s="3" t="str">
        <v>Филозофско друштво на Македонија</v>
      </c>
      <c r="D305" s="3" t="str">
        <v>Официальный сайт; Подтверждение официальных социальных сетей</v>
      </c>
      <c r="E305" s="7" t="str">
        <v>https://fdm.mk/</v>
      </c>
      <c r="F305" s="3" t="str">
        <v>Открыт; HTTP 200</v>
      </c>
      <c r="G305" s="6" t="n">
        <v>46300</v>
      </c>
      <c r="H305" s="3" t="str">
        <v>Переадресация не обнаружена</v>
      </c>
    </row>
    <row r="306" ht="48" customHeight="1">
      <c r="A306" s="8" t="n">
        <v>305</v>
      </c>
      <c r="B306" s="3" t="str">
        <v>Северная Македония</v>
      </c>
      <c r="C306" s="3" t="str">
        <v>Филозофско друштво на Македонија</v>
      </c>
      <c r="D306" s="3" t="str">
        <v>Основной журнал</v>
      </c>
      <c r="E306" s="7" t="str">
        <v>https://fdm.mk/filozofska-tribina/</v>
      </c>
      <c r="F306" s="3" t="str">
        <v>Открыт; HTTP 200</v>
      </c>
      <c r="G306" s="6" t="n">
        <v>46300</v>
      </c>
      <c r="H306" s="3" t="str">
        <v>Переадресация не обнаружена</v>
      </c>
    </row>
    <row r="307" ht="48" customHeight="1">
      <c r="A307" s="8" t="n">
        <v>306</v>
      </c>
      <c r="B307" s="3" t="str">
        <v>Северная Македония</v>
      </c>
      <c r="C307" s="3" t="str">
        <v>Филозофско друштво на Македонија</v>
      </c>
      <c r="D307" s="3" t="str">
        <v>Национальный статус</v>
      </c>
      <c r="E307" s="7" t="str">
        <v>https://fdm.mk/za-nas/</v>
      </c>
      <c r="F307" s="3" t="str">
        <v>Открыт; HTTP 200</v>
      </c>
      <c r="G307" s="6" t="n">
        <v>46300</v>
      </c>
      <c r="H307" s="3" t="str">
        <v>Переадресация не обнаружена</v>
      </c>
    </row>
    <row r="308" ht="48" customHeight="1">
      <c r="A308" s="8" t="n">
        <v>307</v>
      </c>
      <c r="B308" s="3" t="str">
        <v>Северная Македония</v>
      </c>
      <c r="C308" s="3" t="str">
        <v>Филозофско друштво на Македонија</v>
      </c>
      <c r="D308" s="3" t="str">
        <v>Facebook</v>
      </c>
      <c r="E308" s="7" t="str">
        <v>https://www.facebook.com/philosophicalsocietyofmacedonia</v>
      </c>
      <c r="F308" s="3" t="str">
        <v>Открыт; HTTP 200</v>
      </c>
      <c r="G308" s="6" t="n">
        <v>46300</v>
      </c>
      <c r="H308" s="3" t="str">
        <v>Переадресация не обнаружена</v>
      </c>
    </row>
    <row r="309" ht="48" customHeight="1">
      <c r="A309" s="8" t="n">
        <v>308</v>
      </c>
      <c r="B309" s="3" t="str">
        <v>Северная Македония</v>
      </c>
      <c r="C309" s="3" t="str">
        <v>Филозофско друштво на Македонија</v>
      </c>
      <c r="D309" s="3" t="str">
        <v>FISP: прямое национальное членство</v>
      </c>
      <c r="E309" s="7" t="str">
        <v>https://www.fisp.org/members/national-societies</v>
      </c>
      <c r="F309" s="3" t="str">
        <v>Открыт; HTTP 200</v>
      </c>
      <c r="G309" s="6" t="n">
        <v>46300</v>
      </c>
      <c r="H309" s="3" t="str">
        <v>Переадресация не обнаружена</v>
      </c>
    </row>
    <row r="310" ht="48" customHeight="1">
      <c r="A310" s="8" t="n">
        <v>309</v>
      </c>
      <c r="B310" s="3" t="str">
        <v>Северная Македония</v>
      </c>
      <c r="C310" s="3" t="str">
        <v>Филозофско друштво на Македонија</v>
      </c>
      <c r="D310" s="3" t="str">
        <v>YouTube</v>
      </c>
      <c r="E310" s="7" t="str">
        <v>https://www.youtube.com/channel/UCyJH6pTyOc7qWw5Gte9wisg/featured</v>
      </c>
      <c r="F310" s="3" t="str">
        <v>Автоматический доступ ограничен; HTTP 429</v>
      </c>
      <c r="G310" s="6" t="n">
        <v>46300</v>
      </c>
      <c r="H310" s="7" t="str">
        <v>https://www.google.com/sorry/index?continue=https://www.youtube.com/channel/UCyJH6pTyOc7qWw5Gte9wisg/featured&amp;q=EhAqE5UAAeQARQAAAAACLQCVGN6xjtYGIjA_zGyQxlsbHntYfe84FITPny-CNDay9NgcCOTq2mjs45yFaYMpcXSUgkNjCNyz1_AyAnJSWgFD</v>
      </c>
    </row>
    <row r="311" ht="48" customHeight="1">
      <c r="A311" s="8" t="n">
        <v>310</v>
      </c>
      <c r="B311" s="3" t="str">
        <v>Сенегал</v>
      </c>
      <c r="C311" s="3" t="str">
        <v>Охват страны</v>
      </c>
      <c r="D311" s="3" t="str">
        <v>Проверенный источник для поиска</v>
      </c>
      <c r="E311" s="7" t="str">
        <v>https://www.fisp.org/members/national-societies</v>
      </c>
      <c r="F311" s="3" t="str">
        <v>Открыт; HTTP 200</v>
      </c>
      <c r="G311" s="6" t="n">
        <v>46300</v>
      </c>
      <c r="H311" s="3" t="str">
        <v>Переадресация не обнаружена</v>
      </c>
    </row>
    <row r="312" ht="48" customHeight="1">
      <c r="A312" s="8" t="n">
        <v>311</v>
      </c>
      <c r="B312" s="3" t="str">
        <v>Сенегал</v>
      </c>
      <c r="C312" s="3" t="str">
        <v>Association sénégalaise de Philosophie (A.SE.PHI)</v>
      </c>
      <c r="D312" s="3" t="str">
        <v>Национальный статус</v>
      </c>
      <c r="E312" s="7" t="str">
        <v>https://caribbeanphilosophy.org/ecole-africaine-de-philosophie</v>
      </c>
      <c r="F312" s="3" t="str">
        <v>Открыт; HTTP 206</v>
      </c>
      <c r="G312" s="6" t="n">
        <v>46300</v>
      </c>
      <c r="H312" s="3" t="str">
        <v>Переадресация не обнаружена</v>
      </c>
    </row>
    <row r="313" ht="48" customHeight="1">
      <c r="A313" s="8" t="n">
        <v>312</v>
      </c>
      <c r="B313" s="3" t="str">
        <v>Сенегал</v>
      </c>
      <c r="C313" s="3" t="str">
        <v>Société sénégalaise de philosophie</v>
      </c>
      <c r="D313" s="3" t="str">
        <v>Основной журнал</v>
      </c>
      <c r="E313" s="7" t="str">
        <v>https://editions.ucad.sn/series/serie_2/revue_22</v>
      </c>
      <c r="F313" s="3" t="str">
        <v>Открыт; HTTP 200</v>
      </c>
      <c r="G313" s="6" t="n">
        <v>46300</v>
      </c>
      <c r="H313" s="3" t="str">
        <v>Переадресация не обнаружена</v>
      </c>
    </row>
    <row r="314" ht="48" customHeight="1">
      <c r="A314" s="8" t="n">
        <v>313</v>
      </c>
      <c r="B314" s="3" t="str">
        <v>Сенегал</v>
      </c>
      <c r="C314" s="3" t="str">
        <v>Société sénégalaise de philosophie</v>
      </c>
      <c r="D314" s="3" t="str">
        <v>Национальный статус; FISP: прямое национальное членство</v>
      </c>
      <c r="E314" s="7" t="str">
        <v>https://www.fisp.org/members/national-societies</v>
      </c>
      <c r="F314" s="3" t="str">
        <v>Открыт; HTTP 200</v>
      </c>
      <c r="G314" s="6" t="n">
        <v>46300</v>
      </c>
      <c r="H314" s="3" t="str">
        <v>Переадресация не обнаружена</v>
      </c>
    </row>
    <row r="315" ht="48" customHeight="1">
      <c r="A315" s="8" t="n">
        <v>314</v>
      </c>
      <c r="B315" s="3" t="str">
        <v>Сербия</v>
      </c>
      <c r="C315" s="3" t="str">
        <v>Охват страны</v>
      </c>
      <c r="D315" s="3" t="str">
        <v>Проверенный источник для поиска</v>
      </c>
      <c r="E315" s="7" t="str">
        <v>https://ustavni.sud.rs/ostalo/odnosi-sa-javnoscu/vesti/predsednik-ustavnog-suda-otvorio-vii-gruzanske</v>
      </c>
      <c r="F315" s="3" t="str">
        <v>При проверке не открылся; HTTP 502</v>
      </c>
      <c r="G315" s="6" t="n">
        <v>46300</v>
      </c>
      <c r="H315" s="3" t="str">
        <v>Переадресация не обнаружена</v>
      </c>
    </row>
    <row r="316" ht="48" customHeight="1">
      <c r="A316" s="8" t="n">
        <v>315</v>
      </c>
      <c r="B316" s="3" t="str">
        <v>Сербия</v>
      </c>
      <c r="C316" s="3" t="str">
        <v>Српско филозофско друштво</v>
      </c>
      <c r="D316" s="3" t="str">
        <v>Дополнительное подтверждение</v>
      </c>
      <c r="E316" s="7" t="str">
        <v>https://knic.rs/vladan-petrov-predsednik-ustavnog-suda-srbije-posetio-opstinu-knic/</v>
      </c>
      <c r="F316" s="3" t="str">
        <v>Открыт; HTTP 200</v>
      </c>
      <c r="G316" s="6" t="n">
        <v>46300</v>
      </c>
      <c r="H316" s="3" t="str">
        <v>Переадресация не обнаружена</v>
      </c>
    </row>
    <row r="317" ht="48" customHeight="1">
      <c r="A317" s="8" t="n">
        <v>316</v>
      </c>
      <c r="B317" s="3" t="str">
        <v>Сербия</v>
      </c>
      <c r="C317" s="3" t="str">
        <v>Српско филозофско друштво</v>
      </c>
      <c r="D317" s="3" t="str">
        <v>Руководство: архивный или неполный источник, требуется актуальное подтверждение</v>
      </c>
      <c r="E317" s="7" t="str">
        <v>https://nafasep.ucg.ac.me/assets/dok/Knjiga%20apstrakata%202025.pdf</v>
      </c>
      <c r="F317" s="3" t="str">
        <v>Открыт; HTTP 206</v>
      </c>
      <c r="G317" s="6" t="n">
        <v>46300</v>
      </c>
      <c r="H317" s="3" t="str">
        <v>Переадресация не обнаружена</v>
      </c>
    </row>
    <row r="318" ht="48" customHeight="1">
      <c r="A318" s="8" t="n">
        <v>317</v>
      </c>
      <c r="B318" s="3" t="str">
        <v>Сербия</v>
      </c>
      <c r="C318" s="3" t="str">
        <v>Српско филозофско друштво</v>
      </c>
      <c r="D318" s="3" t="str">
        <v>Национальный статус</v>
      </c>
      <c r="E318" s="7" t="str">
        <v>https://nitra.gov.rs/images/nauka/Kategorizacija%20naucnih%20casopisa/2025-05-13/lista-casopisa-2024.pdf</v>
      </c>
      <c r="F318" s="3" t="str">
        <v>Открыт; HTTP 206</v>
      </c>
      <c r="G318" s="6" t="n">
        <v>46300</v>
      </c>
      <c r="H318" s="3" t="str">
        <v>Переадресация не обнаружена</v>
      </c>
    </row>
    <row r="319" ht="48" customHeight="1">
      <c r="A319" s="8" t="n">
        <v>318</v>
      </c>
      <c r="B319" s="3" t="str">
        <v>Сербия</v>
      </c>
      <c r="C319" s="3" t="str">
        <v>Српско филозофско друштво</v>
      </c>
      <c r="D319" s="3" t="str">
        <v>Основной журнал</v>
      </c>
      <c r="E319" s="7" t="str">
        <v>https://www.doiserbia.nb.rs/journal.aspx?issn=0351-2274</v>
      </c>
      <c r="F319" s="3" t="str">
        <v>При проверке не открылся; HTTP 502</v>
      </c>
      <c r="G319" s="6" t="n">
        <v>46300</v>
      </c>
      <c r="H319" s="3" t="str">
        <v>Переадресация не обнаружена</v>
      </c>
    </row>
    <row r="320" ht="48" customHeight="1">
      <c r="A320" s="8" t="n">
        <v>319</v>
      </c>
      <c r="B320" s="3" t="str">
        <v>Сингапур</v>
      </c>
      <c r="C320" s="3" t="str">
        <v>Охват страны</v>
      </c>
      <c r="D320" s="3" t="str">
        <v>Проверенный источник для поиска</v>
      </c>
      <c r="E320" s="7" t="str">
        <v>https://aap.org.au/about/Board</v>
      </c>
      <c r="F320" s="3" t="str">
        <v>Открыт; HTTP 200</v>
      </c>
      <c r="G320" s="6" t="n">
        <v>46300</v>
      </c>
      <c r="H320" s="3" t="str">
        <v>Переадресация не обнаружена</v>
      </c>
    </row>
    <row r="321" ht="48" customHeight="1">
      <c r="A321" s="8" t="n">
        <v>320</v>
      </c>
      <c r="B321" s="3" t="str">
        <v>Словакия</v>
      </c>
      <c r="C321" s="3" t="str">
        <v>Охват страны</v>
      </c>
      <c r="D321" s="3" t="str">
        <v>Проверенный источник для поиска</v>
      </c>
      <c r="E321" s="7" t="str">
        <v>https://www.fisp.org/members/national-societies</v>
      </c>
      <c r="F321" s="3" t="str">
        <v>Открыт; HTTP 200</v>
      </c>
      <c r="G321" s="6" t="n">
        <v>46300</v>
      </c>
      <c r="H321" s="3" t="str">
        <v>Переадресация не обнаружена</v>
      </c>
    </row>
    <row r="322" ht="48" customHeight="1">
      <c r="A322" s="8" t="n">
        <v>321</v>
      </c>
      <c r="B322" s="3" t="str">
        <v>Словакия</v>
      </c>
      <c r="C322" s="3" t="str">
        <v>Slovenské filozofické združenie pri SAV</v>
      </c>
      <c r="D322" s="3" t="str">
        <v>Национальный статус; FISP: прямое национальное членство</v>
      </c>
      <c r="E322" s="7" t="str">
        <v>https://www.fisp.org/members/national-societies</v>
      </c>
      <c r="F322" s="3" t="str">
        <v>Открыт; HTTP 200</v>
      </c>
      <c r="G322" s="6" t="n">
        <v>46300</v>
      </c>
      <c r="H322" s="3" t="str">
        <v>Переадресация не обнаружена</v>
      </c>
    </row>
    <row r="323" ht="48" customHeight="1">
      <c r="A323" s="8" t="n">
        <v>322</v>
      </c>
      <c r="B323" s="3" t="str">
        <v>Словакия</v>
      </c>
      <c r="C323" s="3" t="str">
        <v>Slovenské filozofické združenie pri SAV</v>
      </c>
      <c r="D323" s="3" t="str">
        <v>Официальный сайт</v>
      </c>
      <c r="E323" s="7" t="str">
        <v>https://www.sfz.sk/</v>
      </c>
      <c r="F323" s="3" t="str">
        <v>При проверке не открылся; HTTP 502</v>
      </c>
      <c r="G323" s="6" t="n">
        <v>46300</v>
      </c>
      <c r="H323" s="3" t="str">
        <v>Переадресация не обнаружена</v>
      </c>
    </row>
    <row r="324" ht="48" customHeight="1">
      <c r="A324" s="8" t="n">
        <v>323</v>
      </c>
      <c r="B324" s="3" t="str">
        <v>Словения</v>
      </c>
      <c r="C324" s="3" t="str">
        <v>Охват страны</v>
      </c>
      <c r="D324" s="3" t="str">
        <v>Проверенный источник для поиска</v>
      </c>
      <c r="E324" s="7" t="str">
        <v>https://www.sfd-drustvo.si/</v>
      </c>
      <c r="F324" s="3" t="str">
        <v>Открыт; HTTP 200</v>
      </c>
      <c r="G324" s="6" t="n">
        <v>46300</v>
      </c>
      <c r="H324" s="3" t="str">
        <v>Переадресация не обнаружена</v>
      </c>
    </row>
    <row r="325" ht="48" customHeight="1">
      <c r="A325" s="8" t="n">
        <v>324</v>
      </c>
      <c r="B325" s="3" t="str">
        <v>Словения</v>
      </c>
      <c r="C325" s="3" t="str">
        <v>Охват страны</v>
      </c>
      <c r="D325" s="3" t="str">
        <v>Проверенный источник для поиска</v>
      </c>
      <c r="E325" s="7" t="str">
        <v>https://www.sfd-drustvo.si/o-drustvu/</v>
      </c>
      <c r="F325" s="3" t="str">
        <v>Открыт; HTTP 200</v>
      </c>
      <c r="G325" s="6" t="n">
        <v>46300</v>
      </c>
      <c r="H325" s="3" t="str">
        <v>Переадресация не обнаружена</v>
      </c>
    </row>
    <row r="326" ht="48" customHeight="1">
      <c r="A326" s="8" t="n">
        <v>325</v>
      </c>
      <c r="B326" s="3" t="str">
        <v>Словения</v>
      </c>
      <c r="C326" s="3" t="str">
        <v>Slovensko filozofsko društvo</v>
      </c>
      <c r="D326" s="3" t="str">
        <v>Основной журнал</v>
      </c>
      <c r="E326" s="7" t="str">
        <v>http://www.anthropos.si/</v>
      </c>
      <c r="F326" s="3" t="str">
        <v>Открыт; HTTP 200</v>
      </c>
      <c r="G326" s="6" t="n">
        <v>46300</v>
      </c>
      <c r="H326" s="7" t="str">
        <v>https://www.anthropos.si/</v>
      </c>
    </row>
    <row r="327" ht="48" customHeight="1">
      <c r="A327" s="8" t="n">
        <v>326</v>
      </c>
      <c r="B327" s="3" t="str">
        <v>Словения</v>
      </c>
      <c r="C327" s="3" t="str">
        <v>Slovensko filozofsko društvo</v>
      </c>
      <c r="D327" s="3" t="str">
        <v>X / Twitter</v>
      </c>
      <c r="E327" s="7" t="str">
        <v>https://twitter.com/SlovenskoD</v>
      </c>
      <c r="F327" s="3" t="str">
        <v>Открыт; HTTP 200</v>
      </c>
      <c r="G327" s="6" t="n">
        <v>46300</v>
      </c>
      <c r="H327" s="7" t="str">
        <v>https://x.com/SlovenskoD</v>
      </c>
    </row>
    <row r="328" ht="48" customHeight="1">
      <c r="A328" s="8" t="n">
        <v>327</v>
      </c>
      <c r="B328" s="3" t="str">
        <v>Словения</v>
      </c>
      <c r="C328" s="3" t="str">
        <v>Slovensko filozofsko društvo</v>
      </c>
      <c r="D328" s="3" t="str">
        <v>Facebook</v>
      </c>
      <c r="E328" s="7" t="str">
        <v>https://www.facebook.com/Slovenskofilozofskodrustvo</v>
      </c>
      <c r="F328" s="3" t="str">
        <v>Открыт; HTTP 200</v>
      </c>
      <c r="G328" s="6" t="n">
        <v>46300</v>
      </c>
      <c r="H328" s="3" t="str">
        <v>Переадресация не обнаружена</v>
      </c>
    </row>
    <row r="329" ht="48" customHeight="1">
      <c r="A329" s="8" t="n">
        <v>328</v>
      </c>
      <c r="B329" s="3" t="str">
        <v>Словения</v>
      </c>
      <c r="C329" s="3" t="str">
        <v>Slovensko filozofsko društvo</v>
      </c>
      <c r="D329" s="3" t="str">
        <v>FISP: прямое национальное членство</v>
      </c>
      <c r="E329" s="7" t="str">
        <v>https://www.fisp.org/members/national-societies</v>
      </c>
      <c r="F329" s="3" t="str">
        <v>Открыт; HTTP 200</v>
      </c>
      <c r="G329" s="6" t="n">
        <v>46300</v>
      </c>
      <c r="H329" s="3" t="str">
        <v>Переадресация не обнаружена</v>
      </c>
    </row>
    <row r="330" ht="48" customHeight="1">
      <c r="A330" s="8" t="n">
        <v>329</v>
      </c>
      <c r="B330" s="3" t="str">
        <v>Словения</v>
      </c>
      <c r="C330" s="3" t="str">
        <v>Slovensko filozofsko društvo</v>
      </c>
      <c r="D330" s="3" t="str">
        <v>Instagram</v>
      </c>
      <c r="E330" s="7" t="str">
        <v>https://www.instagram.com/slovenskofilozofsko/</v>
      </c>
      <c r="F330" s="3" t="str">
        <v>Открыт; HTTP 200</v>
      </c>
      <c r="G330" s="6" t="n">
        <v>46300</v>
      </c>
      <c r="H330" s="3" t="str">
        <v>Переадресация не обнаружена</v>
      </c>
    </row>
    <row r="331" ht="48" customHeight="1">
      <c r="A331" s="8" t="n">
        <v>330</v>
      </c>
      <c r="B331" s="3" t="str">
        <v>Словения</v>
      </c>
      <c r="C331" s="3" t="str">
        <v>Slovensko filozofsko društvo</v>
      </c>
      <c r="D331" s="3" t="str">
        <v>Официальный сайт; Подтверждение официальных социальных сетей</v>
      </c>
      <c r="E331" s="7" t="str">
        <v>https://www.sfd-drustvo.si/</v>
      </c>
      <c r="F331" s="3" t="str">
        <v>Открыт; HTTP 200</v>
      </c>
      <c r="G331" s="6" t="n">
        <v>46300</v>
      </c>
      <c r="H331" s="3" t="str">
        <v>Переадресация не обнаружена</v>
      </c>
    </row>
    <row r="332" ht="48" customHeight="1">
      <c r="A332" s="8" t="n">
        <v>331</v>
      </c>
      <c r="B332" s="3" t="str">
        <v>Словения</v>
      </c>
      <c r="C332" s="3" t="str">
        <v>Slovensko filozofsko društvo</v>
      </c>
      <c r="D332" s="3" t="str">
        <v>Национальный статус; Руководство</v>
      </c>
      <c r="E332" s="7" t="str">
        <v>https://www.sfd-drustvo.si/o-drustvu/</v>
      </c>
      <c r="F332" s="3" t="str">
        <v>Открыт; HTTP 200</v>
      </c>
      <c r="G332" s="6" t="n">
        <v>46300</v>
      </c>
      <c r="H332" s="3" t="str">
        <v>Переадресация не обнаружена</v>
      </c>
    </row>
    <row r="333" ht="48" customHeight="1">
      <c r="A333" s="8" t="n">
        <v>332</v>
      </c>
      <c r="B333" s="3" t="str">
        <v>США</v>
      </c>
      <c r="C333" s="3" t="str">
        <v>Охват страны</v>
      </c>
      <c r="D333" s="3" t="str">
        <v>Проверенный источник для поиска</v>
      </c>
      <c r="E333" s="7" t="str">
        <v>https://www.fisp.org/members/national-societies</v>
      </c>
      <c r="F333" s="3" t="str">
        <v>Открыт; HTTP 200</v>
      </c>
      <c r="G333" s="6" t="n">
        <v>46300</v>
      </c>
      <c r="H333" s="3" t="str">
        <v>Переадресация не обнаружена</v>
      </c>
    </row>
    <row r="334" ht="48" customHeight="1">
      <c r="A334" s="8" t="n">
        <v>333</v>
      </c>
      <c r="B334" s="3" t="str">
        <v>США</v>
      </c>
      <c r="C334" s="3" t="str">
        <v>American Philosophical Association</v>
      </c>
      <c r="D334" s="3" t="str">
        <v>Официальный сайт</v>
      </c>
      <c r="E334" s="7" t="str">
        <v>https://www.apaonline.org/</v>
      </c>
      <c r="F334" s="3" t="str">
        <v>Автоматический доступ ограничен; HTTP 403</v>
      </c>
      <c r="G334" s="6" t="n">
        <v>46300</v>
      </c>
      <c r="H334" s="3" t="str">
        <v>Переадресация не обнаружена</v>
      </c>
    </row>
    <row r="335" ht="48" customHeight="1">
      <c r="A335" s="8" t="n">
        <v>334</v>
      </c>
      <c r="B335" s="3" t="str">
        <v>США</v>
      </c>
      <c r="C335" s="3" t="str">
        <v>American Philosophical Association</v>
      </c>
      <c r="D335" s="3" t="str">
        <v>Руководство</v>
      </c>
      <c r="E335" s="7" t="str">
        <v>https://www.apaonline.org/news/718414/Marya-Schechtman-elected-new-APA-board-chair.htm</v>
      </c>
      <c r="F335" s="3" t="str">
        <v>Автоматический доступ ограничен; HTTP 403</v>
      </c>
      <c r="G335" s="6" t="n">
        <v>46300</v>
      </c>
      <c r="H335" s="3" t="str">
        <v>Переадресация не обнаружена</v>
      </c>
    </row>
    <row r="336" ht="48" customHeight="1">
      <c r="A336" s="8" t="n">
        <v>335</v>
      </c>
      <c r="B336" s="3" t="str">
        <v>США</v>
      </c>
      <c r="C336" s="3" t="str">
        <v>American Philosophical Association</v>
      </c>
      <c r="D336" s="3" t="str">
        <v>Основной журнал</v>
      </c>
      <c r="E336" s="7" t="str">
        <v>https://www.apaonline.org/page/journal/Journal-of-the-American-Philosophical-Association</v>
      </c>
      <c r="F336" s="3" t="str">
        <v>Автоматический доступ ограничен; HTTP 403</v>
      </c>
      <c r="G336" s="6" t="n">
        <v>46300</v>
      </c>
      <c r="H336" s="3" t="str">
        <v>Переадресация не обнаружена</v>
      </c>
    </row>
    <row r="337" ht="48" customHeight="1">
      <c r="A337" s="8" t="n">
        <v>336</v>
      </c>
      <c r="B337" s="3" t="str">
        <v>США</v>
      </c>
      <c r="C337" s="3" t="str">
        <v>American Philosophical Association</v>
      </c>
      <c r="D337" s="3" t="str">
        <v>Дополнительное подтверждение</v>
      </c>
      <c r="E337" s="7" t="str">
        <v>https://www.apaonline.org/page/journaleditorapp</v>
      </c>
      <c r="F337" s="3" t="str">
        <v>Автоматический доступ ограничен; HTTP 403</v>
      </c>
      <c r="G337" s="6" t="n">
        <v>46300</v>
      </c>
      <c r="H337" s="3" t="str">
        <v>Переадресация не обнаружена</v>
      </c>
    </row>
    <row r="338" ht="48" customHeight="1">
      <c r="A338" s="8" t="n">
        <v>337</v>
      </c>
      <c r="B338" s="3" t="str">
        <v>США</v>
      </c>
      <c r="C338" s="3" t="str">
        <v>American Philosophical Association</v>
      </c>
      <c r="D338" s="3" t="str">
        <v>Национальный статус</v>
      </c>
      <c r="E338" s="7" t="str">
        <v>https://www.apaonline.org/page/mission</v>
      </c>
      <c r="F338" s="3" t="str">
        <v>Автоматический доступ ограничен; HTTP 403</v>
      </c>
      <c r="G338" s="6" t="n">
        <v>46300</v>
      </c>
      <c r="H338" s="3" t="str">
        <v>Переадресация не обнаружена</v>
      </c>
    </row>
    <row r="339" ht="48" customHeight="1">
      <c r="A339" s="8" t="n">
        <v>338</v>
      </c>
      <c r="B339" s="3" t="str">
        <v>США</v>
      </c>
      <c r="C339" s="3" t="str">
        <v>American Philosophical Association</v>
      </c>
      <c r="D339" s="3" t="str">
        <v>Дополнительный журнал</v>
      </c>
      <c r="E339" s="7" t="str">
        <v>https://www.apaonline.org/page/publications</v>
      </c>
      <c r="F339" s="3" t="str">
        <v>Автоматический доступ ограничен; HTTP 403</v>
      </c>
      <c r="G339" s="6" t="n">
        <v>46300</v>
      </c>
      <c r="H339" s="3" t="str">
        <v>Переадресация не обнаружена</v>
      </c>
    </row>
    <row r="340" ht="48" customHeight="1">
      <c r="A340" s="8" t="n">
        <v>339</v>
      </c>
      <c r="B340" s="3" t="str">
        <v>США</v>
      </c>
      <c r="C340" s="3" t="str">
        <v>American Philosophical Association</v>
      </c>
      <c r="D340" s="3" t="str">
        <v>FISP: прямое национальное членство</v>
      </c>
      <c r="E340" s="7" t="str">
        <v>https://www.fisp.org/members/national-societies</v>
      </c>
      <c r="F340" s="3" t="str">
        <v>Открыт; HTTP 200</v>
      </c>
      <c r="G340" s="6" t="n">
        <v>46300</v>
      </c>
      <c r="H340" s="3" t="str">
        <v>Переадресация не обнаружена</v>
      </c>
    </row>
    <row r="341" ht="48" customHeight="1">
      <c r="A341" s="8" t="n">
        <v>340</v>
      </c>
      <c r="B341" s="3" t="str">
        <v>Таиланд</v>
      </c>
      <c r="C341" s="3" t="str">
        <v>Охват страны</v>
      </c>
      <c r="D341" s="3" t="str">
        <v>Проверенный источник для поиска</v>
      </c>
      <c r="E341" s="7" t="str">
        <v>https://www.fisp.org/members/national-societies</v>
      </c>
      <c r="F341" s="3" t="str">
        <v>Открыт; HTTP 200</v>
      </c>
      <c r="G341" s="6" t="n">
        <v>46300</v>
      </c>
      <c r="H341" s="3" t="str">
        <v>Переадресация не обнаружена</v>
      </c>
    </row>
    <row r="342" ht="48" customHeight="1">
      <c r="A342" s="8" t="n">
        <v>341</v>
      </c>
      <c r="B342" s="3" t="str">
        <v>Таиланд</v>
      </c>
      <c r="C342" s="3" t="str">
        <v>สมาคมปรัชญาและศาสนาแห่งประเทศไทย</v>
      </c>
      <c r="D342" s="3" t="str">
        <v>Официальный сайт</v>
      </c>
      <c r="E342" s="7" t="str">
        <v>https://parst.or.th/</v>
      </c>
      <c r="F342" s="3" t="str">
        <v>Открыт; HTTP 200</v>
      </c>
      <c r="G342" s="6" t="n">
        <v>46300</v>
      </c>
      <c r="H342" s="3" t="str">
        <v>Переадресация не обнаружена</v>
      </c>
    </row>
    <row r="343" ht="48" customHeight="1">
      <c r="A343" s="8" t="n">
        <v>342</v>
      </c>
      <c r="B343" s="3" t="str">
        <v>Таиланд</v>
      </c>
      <c r="C343" s="3" t="str">
        <v>สมาคมปรัชญาและศาสนาแห่งประเทศไทย</v>
      </c>
      <c r="D343" s="3" t="str">
        <v>Основной журнал</v>
      </c>
      <c r="E343" s="7" t="str">
        <v>https://so04.tci-thaijo.org/index.php/parst/</v>
      </c>
      <c r="F343" s="3" t="str">
        <v>Открыт; HTTP 200</v>
      </c>
      <c r="G343" s="6" t="n">
        <v>46300</v>
      </c>
      <c r="H343" s="7" t="str">
        <v>https://so04.tci-thaijo.org/index.php/parst</v>
      </c>
    </row>
    <row r="344" ht="48" customHeight="1">
      <c r="A344" s="8" t="n">
        <v>343</v>
      </c>
      <c r="B344" s="3" t="str">
        <v>Таиланд</v>
      </c>
      <c r="C344" s="3" t="str">
        <v>สมาคมปรัชญาและศาสนาแห่งประเทศไทย</v>
      </c>
      <c r="D344" s="3" t="str">
        <v>Национальный статус; FISP: прямое национальное членство</v>
      </c>
      <c r="E344" s="7" t="str">
        <v>https://www.fisp.org/members/national-societies</v>
      </c>
      <c r="F344" s="3" t="str">
        <v>Открыт; HTTP 200</v>
      </c>
      <c r="G344" s="6" t="n">
        <v>46300</v>
      </c>
      <c r="H344" s="3" t="str">
        <v>Переадресация не обнаружена</v>
      </c>
    </row>
    <row r="345" ht="48" customHeight="1">
      <c r="A345" s="8" t="n">
        <v>344</v>
      </c>
      <c r="B345" s="3" t="str">
        <v>Тайвань</v>
      </c>
      <c r="C345" s="3" t="str">
        <v>中國哲學會</v>
      </c>
      <c r="D345" s="3" t="str">
        <v>Национальный статус</v>
      </c>
      <c r="E345" s="7" t="str">
        <v>https://tpatw.org/conference/3440/</v>
      </c>
      <c r="F345" s="3" t="str">
        <v>Открыт; HTTP 200</v>
      </c>
      <c r="G345" s="6" t="n">
        <v>46300</v>
      </c>
      <c r="H345" s="3" t="str">
        <v>Переадресация не обнаружена</v>
      </c>
    </row>
    <row r="346" ht="48" customHeight="1">
      <c r="A346" s="8" t="n">
        <v>345</v>
      </c>
      <c r="B346" s="3" t="str">
        <v>Тайвань</v>
      </c>
      <c r="C346" s="3" t="str">
        <v>中國哲學會</v>
      </c>
      <c r="D346" s="3" t="str">
        <v>FISP: прямое национальное членство</v>
      </c>
      <c r="E346" s="7" t="str">
        <v>https://www.fisp.org/members/national-societies</v>
      </c>
      <c r="F346" s="3" t="str">
        <v>Открыт; HTTP 200</v>
      </c>
      <c r="G346" s="6" t="n">
        <v>46300</v>
      </c>
      <c r="H346" s="3" t="str">
        <v>Переадресация не обнаружена</v>
      </c>
    </row>
    <row r="347" ht="48" customHeight="1">
      <c r="A347" s="8" t="n">
        <v>346</v>
      </c>
      <c r="B347" s="3" t="str">
        <v>Тайвань</v>
      </c>
      <c r="C347" s="3" t="str">
        <v>台灣哲學學會</v>
      </c>
      <c r="D347" s="3" t="str">
        <v>Официальный сайт; Подтверждение официальных социальных сетей</v>
      </c>
      <c r="E347" s="7" t="str">
        <v>https://tpatw.org/</v>
      </c>
      <c r="F347" s="3" t="str">
        <v>Открыт; HTTP 200</v>
      </c>
      <c r="G347" s="6" t="n">
        <v>46300</v>
      </c>
      <c r="H347" s="3" t="str">
        <v>Переадресация не обнаружена</v>
      </c>
    </row>
    <row r="348" ht="48" customHeight="1">
      <c r="A348" s="8" t="n">
        <v>347</v>
      </c>
      <c r="B348" s="3" t="str">
        <v>Тайвань</v>
      </c>
      <c r="C348" s="3" t="str">
        <v>台灣哲學學會</v>
      </c>
      <c r="D348" s="3" t="str">
        <v>Национальный статус</v>
      </c>
      <c r="E348" s="7" t="str">
        <v>https://tpatw.org/abouttpa/constitution/</v>
      </c>
      <c r="F348" s="3" t="str">
        <v>Открыт; HTTP 200</v>
      </c>
      <c r="G348" s="6" t="n">
        <v>46300</v>
      </c>
      <c r="H348" s="3" t="str">
        <v>Переадресация не обнаружена</v>
      </c>
    </row>
    <row r="349" ht="48" customHeight="1">
      <c r="A349" s="8" t="n">
        <v>348</v>
      </c>
      <c r="B349" s="3" t="str">
        <v>Тайвань</v>
      </c>
      <c r="C349" s="3" t="str">
        <v>台灣哲學學會</v>
      </c>
      <c r="D349" s="3" t="str">
        <v>Руководство</v>
      </c>
      <c r="E349" s="7" t="str">
        <v>https://tpatw.org/abouttpa/organize_14/</v>
      </c>
      <c r="F349" s="3" t="str">
        <v>Открыт; HTTP 200</v>
      </c>
      <c r="G349" s="6" t="n">
        <v>46300</v>
      </c>
      <c r="H349" s="3" t="str">
        <v>Переадресация не обнаружена</v>
      </c>
    </row>
    <row r="350" ht="48" customHeight="1">
      <c r="A350" s="8" t="n">
        <v>349</v>
      </c>
      <c r="B350" s="3" t="str">
        <v>Тайвань</v>
      </c>
      <c r="C350" s="3" t="str">
        <v>台灣哲學學會</v>
      </c>
      <c r="D350" s="3" t="str">
        <v>Facebook</v>
      </c>
      <c r="E350" s="7" t="str">
        <v>https://www.facebook.com/tpa.net</v>
      </c>
      <c r="F350" s="3" t="str">
        <v>Открыт; HTTP 200</v>
      </c>
      <c r="G350" s="6" t="n">
        <v>46300</v>
      </c>
      <c r="H350" s="3" t="str">
        <v>Переадресация не обнаружена</v>
      </c>
    </row>
    <row r="351" ht="48" customHeight="1">
      <c r="A351" s="8" t="n">
        <v>350</v>
      </c>
      <c r="B351" s="3" t="str">
        <v>Того</v>
      </c>
      <c r="C351" s="3" t="str">
        <v>Société togolaise de philosophie</v>
      </c>
      <c r="D351" s="3" t="str">
        <v>Национальный статус</v>
      </c>
      <c r="E351" s="7" t="str">
        <v>https://jo.gouv.tg/sites/default/files/annee/2013/jo%202013-29ter%20suppl.pdf</v>
      </c>
      <c r="F351" s="3" t="str">
        <v>Открыт; HTTP 206</v>
      </c>
      <c r="G351" s="6" t="n">
        <v>46300</v>
      </c>
      <c r="H351" s="3" t="str">
        <v>Переадресация не обнаружена</v>
      </c>
    </row>
    <row r="352" ht="48" customHeight="1">
      <c r="A352" s="8" t="n">
        <v>351</v>
      </c>
      <c r="B352" s="3" t="str">
        <v>Того</v>
      </c>
      <c r="C352" s="3" t="str">
        <v>Société togolaise de philosophie</v>
      </c>
      <c r="D352" s="3" t="str">
        <v>Дополнительное подтверждение</v>
      </c>
      <c r="E352" s="7" t="str">
        <v>https://www.isdblome.com/2025/11/25/les-philosophes-du-togo-reflechissent-sur-la-relation-entre-lhomme-et-lintelligence-artificielle/</v>
      </c>
      <c r="F352" s="3" t="str">
        <v>Открыт; HTTP 200</v>
      </c>
      <c r="G352" s="6" t="n">
        <v>46300</v>
      </c>
      <c r="H352" s="3" t="str">
        <v>Переадресация не обнаружена</v>
      </c>
    </row>
    <row r="353" ht="48" customHeight="1">
      <c r="A353" s="8" t="n">
        <v>352</v>
      </c>
      <c r="B353" s="3" t="str">
        <v>Тунис</v>
      </c>
      <c r="C353" s="3" t="str">
        <v>Охват страны</v>
      </c>
      <c r="D353" s="3" t="str">
        <v>Проверенный источник для поиска</v>
      </c>
      <c r="E353" s="7" t="str">
        <v>https://asplf.org/liste-des-societes/</v>
      </c>
      <c r="F353" s="3" t="str">
        <v>Открыт; HTTP 200</v>
      </c>
      <c r="G353" s="6" t="n">
        <v>46300</v>
      </c>
      <c r="H353" s="3" t="str">
        <v>Переадресация не обнаружена</v>
      </c>
    </row>
    <row r="354" ht="48" customHeight="1">
      <c r="A354" s="8" t="n">
        <v>353</v>
      </c>
      <c r="B354" s="3" t="str">
        <v>Тунис</v>
      </c>
      <c r="C354" s="3" t="str">
        <v>Association Tunisienne des Études Philosophiques</v>
      </c>
      <c r="D354" s="3" t="str">
        <v>Национальный статус</v>
      </c>
      <c r="E354" s="7" t="str">
        <v>https://asplf.org/liste-des-societes/</v>
      </c>
      <c r="F354" s="3" t="str">
        <v>Открыт; HTTP 200</v>
      </c>
      <c r="G354" s="6" t="n">
        <v>46300</v>
      </c>
      <c r="H354" s="3" t="str">
        <v>Переадресация не обнаружена</v>
      </c>
    </row>
    <row r="355" ht="48" customHeight="1">
      <c r="A355" s="8" t="n">
        <v>354</v>
      </c>
      <c r="B355" s="3" t="str">
        <v>Тунис</v>
      </c>
      <c r="C355" s="3" t="str">
        <v>Association Tunisienne des Études Philosophiques</v>
      </c>
      <c r="D355" s="3" t="str">
        <v>Официальный сайт</v>
      </c>
      <c r="E355" s="7" t="str">
        <v>https://ateph.wordpress.com/</v>
      </c>
      <c r="F355" s="3" t="str">
        <v>Открыт; HTTP 200</v>
      </c>
      <c r="G355" s="6" t="n">
        <v>46300</v>
      </c>
      <c r="H355" s="3" t="str">
        <v>Переадресация не обнаружена</v>
      </c>
    </row>
    <row r="356" ht="48" customHeight="1">
      <c r="A356" s="8" t="n">
        <v>355</v>
      </c>
      <c r="B356" s="3" t="str">
        <v>Турция</v>
      </c>
      <c r="C356" s="3" t="str">
        <v>Охват страны</v>
      </c>
      <c r="D356" s="3" t="str">
        <v>Проверенный источник для поиска</v>
      </c>
      <c r="E356" s="7" t="str">
        <v>https://www.tfk.org.tr/</v>
      </c>
      <c r="F356" s="3" t="str">
        <v>Открыт; HTTP 200</v>
      </c>
      <c r="G356" s="6" t="n">
        <v>46300</v>
      </c>
      <c r="H356" s="3" t="str">
        <v>Переадресация не обнаружена</v>
      </c>
    </row>
    <row r="357" ht="48" customHeight="1">
      <c r="A357" s="8" t="n">
        <v>356</v>
      </c>
      <c r="B357" s="3" t="str">
        <v>Турция</v>
      </c>
      <c r="C357" s="3" t="str">
        <v>Türkiye Felsefe Kurumu</v>
      </c>
      <c r="D357" s="3" t="str">
        <v>X / Twitter</v>
      </c>
      <c r="E357" s="7" t="str">
        <v>https://twitter.com/TRFelsefeKurumu</v>
      </c>
      <c r="F357" s="3" t="str">
        <v>Открыт; HTTP 200</v>
      </c>
      <c r="G357" s="6" t="n">
        <v>46300</v>
      </c>
      <c r="H357" s="7" t="str">
        <v>https://x.com/TRFelsefeKurumu</v>
      </c>
    </row>
    <row r="358" ht="48" customHeight="1">
      <c r="A358" s="8" t="n">
        <v>357</v>
      </c>
      <c r="B358" s="3" t="str">
        <v>Турция</v>
      </c>
      <c r="C358" s="3" t="str">
        <v>Türkiye Felsefe Kurumu</v>
      </c>
      <c r="D358" s="3" t="str">
        <v>FISP: прямое национальное членство</v>
      </c>
      <c r="E358" s="7" t="str">
        <v>https://www.fisp.org/members/national-societies</v>
      </c>
      <c r="F358" s="3" t="str">
        <v>Открыт; HTTP 200</v>
      </c>
      <c r="G358" s="6" t="n">
        <v>46300</v>
      </c>
      <c r="H358" s="3" t="str">
        <v>Переадресация не обнаружена</v>
      </c>
    </row>
    <row r="359" ht="48" customHeight="1">
      <c r="A359" s="8" t="n">
        <v>358</v>
      </c>
      <c r="B359" s="3" t="str">
        <v>Турция</v>
      </c>
      <c r="C359" s="3" t="str">
        <v>Türkiye Felsefe Kurumu</v>
      </c>
      <c r="D359" s="3" t="str">
        <v>Instagram</v>
      </c>
      <c r="E359" s="7" t="str">
        <v>https://www.instagram.com/trfelsefekurumu/</v>
      </c>
      <c r="F359" s="3" t="str">
        <v>Открыт; HTTP 200</v>
      </c>
      <c r="G359" s="6" t="n">
        <v>46300</v>
      </c>
      <c r="H359" s="3" t="str">
        <v>Переадресация не обнаружена</v>
      </c>
    </row>
    <row r="360" ht="48" customHeight="1">
      <c r="A360" s="8" t="n">
        <v>359</v>
      </c>
      <c r="B360" s="3" t="str">
        <v>Турция</v>
      </c>
      <c r="C360" s="3" t="str">
        <v>Türkiye Felsefe Kurumu</v>
      </c>
      <c r="D360" s="3" t="str">
        <v>Официальный сайт; Национальный статус; Подтверждение официальных социальных сетей</v>
      </c>
      <c r="E360" s="7" t="str">
        <v>https://www.tfk.org.tr/</v>
      </c>
      <c r="F360" s="3" t="str">
        <v>Открыт; HTTP 200</v>
      </c>
      <c r="G360" s="6" t="n">
        <v>46300</v>
      </c>
      <c r="H360" s="3" t="str">
        <v>Переадресация не обнаружена</v>
      </c>
    </row>
    <row r="361" ht="48" customHeight="1">
      <c r="A361" s="8" t="n">
        <v>360</v>
      </c>
      <c r="B361" s="3" t="str">
        <v>Турция</v>
      </c>
      <c r="C361" s="3" t="str">
        <v>Türkiye Felsefe Kurumu</v>
      </c>
      <c r="D361" s="3" t="str">
        <v>Руководство: архивный или неполный источник, требуется актуальное подтверждение</v>
      </c>
      <c r="E361" s="7" t="str">
        <v>https://www.tfk.org.tr/k-a-m-u-o-y-u-n-a-d-u-y-u-r-u562.html</v>
      </c>
      <c r="F361" s="3" t="str">
        <v>Открыт; HTTP 200</v>
      </c>
      <c r="G361" s="6" t="n">
        <v>46300</v>
      </c>
      <c r="H361" s="3" t="str">
        <v>Переадресация не обнаружена</v>
      </c>
    </row>
    <row r="362" ht="48" customHeight="1">
      <c r="A362" s="8" t="n">
        <v>361</v>
      </c>
      <c r="B362" s="3" t="str">
        <v>Узбекистан</v>
      </c>
      <c r="C362" s="3" t="str">
        <v>Охват страны</v>
      </c>
      <c r="D362" s="3" t="str">
        <v>Проверенный источник для поиска</v>
      </c>
      <c r="E362" s="7" t="str">
        <v>https://www.fisp.org/members/national-societies</v>
      </c>
      <c r="F362" s="3" t="str">
        <v>Открыт; HTTP 200</v>
      </c>
      <c r="G362" s="6" t="n">
        <v>46300</v>
      </c>
      <c r="H362" s="3" t="str">
        <v>Переадресация не обнаружена</v>
      </c>
    </row>
    <row r="363" ht="48" customHeight="1">
      <c r="A363" s="8" t="n">
        <v>362</v>
      </c>
      <c r="B363" s="3" t="str">
        <v>Узбекистан</v>
      </c>
      <c r="C363" s="3" t="str">
        <v>O‘zbekiston falsafa jamiyati</v>
      </c>
      <c r="D363" s="3" t="str">
        <v>Национальный статус; FISP: прямое национальное членство</v>
      </c>
      <c r="E363" s="7" t="str">
        <v>https://www.fisp.org/members/national-societies</v>
      </c>
      <c r="F363" s="3" t="str">
        <v>Открыт; HTTP 200</v>
      </c>
      <c r="G363" s="6" t="n">
        <v>46300</v>
      </c>
      <c r="H363" s="3" t="str">
        <v>Переадресация не обнаружена</v>
      </c>
    </row>
    <row r="364" ht="48" customHeight="1">
      <c r="A364" s="8" t="n">
        <v>363</v>
      </c>
      <c r="B364" s="3" t="str">
        <v>Украина</v>
      </c>
      <c r="C364" s="3" t="str">
        <v>Охват страны</v>
      </c>
      <c r="D364" s="3" t="str">
        <v>Проверенный источник для поиска</v>
      </c>
      <c r="E364" s="7" t="str">
        <v>https://www.fisp.org/members/national-societies</v>
      </c>
      <c r="F364" s="3" t="str">
        <v>Открыт; HTTP 200</v>
      </c>
      <c r="G364" s="6" t="n">
        <v>46300</v>
      </c>
      <c r="H364" s="3" t="str">
        <v>Переадресация не обнаружена</v>
      </c>
    </row>
    <row r="365" ht="48" customHeight="1">
      <c r="A365" s="8" t="n">
        <v>364</v>
      </c>
      <c r="B365" s="3" t="str">
        <v>Украина</v>
      </c>
      <c r="C365" s="3" t="str">
        <v>Український філософський фонд</v>
      </c>
      <c r="D365" s="3" t="str">
        <v>Национальный статус; FISP: прямое национальное членство</v>
      </c>
      <c r="E365" s="7" t="str">
        <v>https://www.fisp.org/members/national-societies</v>
      </c>
      <c r="F365" s="3" t="str">
        <v>Открыт; HTTP 200</v>
      </c>
      <c r="G365" s="6" t="n">
        <v>46300</v>
      </c>
      <c r="H365" s="3" t="str">
        <v>Переадресация не обнаружена</v>
      </c>
    </row>
    <row r="366" ht="48" customHeight="1">
      <c r="A366" s="8" t="n">
        <v>365</v>
      </c>
      <c r="B366" s="3" t="str">
        <v>Уругвай</v>
      </c>
      <c r="C366" s="3" t="str">
        <v>Охват страны</v>
      </c>
      <c r="D366" s="3" t="str">
        <v>Проверенный источник для поиска</v>
      </c>
      <c r="E366" s="7" t="str">
        <v>https://sfu.org.uy/estatutos/</v>
      </c>
      <c r="F366" s="3" t="str">
        <v>Открыт; HTTP 200</v>
      </c>
      <c r="G366" s="6" t="n">
        <v>46300</v>
      </c>
      <c r="H366" s="3" t="str">
        <v>Переадресация не обнаружена</v>
      </c>
    </row>
    <row r="367" ht="48" customHeight="1">
      <c r="A367" s="8" t="n">
        <v>366</v>
      </c>
      <c r="B367" s="3" t="str">
        <v>Уругвай</v>
      </c>
      <c r="C367" s="3" t="str">
        <v>Sociedad Filosófica del Uruguay</v>
      </c>
      <c r="D367" s="3" t="str">
        <v>Официальный сайт</v>
      </c>
      <c r="E367" s="7" t="str">
        <v>https://sfu.org.uy/</v>
      </c>
      <c r="F367" s="3" t="str">
        <v>Открыт; HTTP 200</v>
      </c>
      <c r="G367" s="6" t="n">
        <v>46300</v>
      </c>
      <c r="H367" s="3" t="str">
        <v>Переадресация не обнаружена</v>
      </c>
    </row>
    <row r="368" ht="48" customHeight="1">
      <c r="A368" s="8" t="n">
        <v>367</v>
      </c>
      <c r="B368" s="3" t="str">
        <v>Уругвай</v>
      </c>
      <c r="C368" s="3" t="str">
        <v>Sociedad Filosófica del Uruguay</v>
      </c>
      <c r="D368" s="3" t="str">
        <v>Национальный статус</v>
      </c>
      <c r="E368" s="7" t="str">
        <v>https://sfu.org.uy/estatutos/</v>
      </c>
      <c r="F368" s="3" t="str">
        <v>Открыт; HTTP 200</v>
      </c>
      <c r="G368" s="6" t="n">
        <v>46300</v>
      </c>
      <c r="H368" s="3" t="str">
        <v>Переадресация не обнаружена</v>
      </c>
    </row>
    <row r="369" ht="48" customHeight="1">
      <c r="A369" s="8" t="n">
        <v>368</v>
      </c>
      <c r="B369" s="3" t="str">
        <v>Уругвай</v>
      </c>
      <c r="C369" s="3" t="str">
        <v>Sociedad Filosófica del Uruguay</v>
      </c>
      <c r="D369" s="3" t="str">
        <v>Руководство</v>
      </c>
      <c r="E369" s="7" t="str">
        <v>https://sfu.org.uy/organos-de-gobierno/</v>
      </c>
      <c r="F369" s="3" t="str">
        <v>Открыт; HTTP 200</v>
      </c>
      <c r="G369" s="6" t="n">
        <v>46300</v>
      </c>
      <c r="H369" s="3" t="str">
        <v>Переадресация не обнаружена</v>
      </c>
    </row>
    <row r="370" ht="48" customHeight="1">
      <c r="A370" s="8" t="n">
        <v>369</v>
      </c>
      <c r="B370" s="3" t="str">
        <v>Уругвай</v>
      </c>
      <c r="C370" s="3" t="str">
        <v>Sociedad Filosófica del Uruguay</v>
      </c>
      <c r="D370" s="3" t="str">
        <v>Основной журнал</v>
      </c>
      <c r="E370" s="7" t="str">
        <v>https://www.elenkhos.sfu.org.uy/index.php/home/</v>
      </c>
      <c r="F370" s="3" t="str">
        <v>Открыт; HTTP 200</v>
      </c>
      <c r="G370" s="6" t="n">
        <v>46300</v>
      </c>
      <c r="H370" s="3" t="str">
        <v>Переадресация не обнаружена</v>
      </c>
    </row>
    <row r="371" ht="48" customHeight="1">
      <c r="A371" s="8" t="n">
        <v>370</v>
      </c>
      <c r="B371" s="3" t="str">
        <v>Уругвай</v>
      </c>
      <c r="C371" s="3" t="str">
        <v>Sociedad Filosófica del Uruguay</v>
      </c>
      <c r="D371" s="3" t="str">
        <v>FISP: прямое национальное членство</v>
      </c>
      <c r="E371" s="7" t="str">
        <v>https://www.fisp.org/members/national-societies</v>
      </c>
      <c r="F371" s="3" t="str">
        <v>Открыт; HTTP 200</v>
      </c>
      <c r="G371" s="6" t="n">
        <v>46300</v>
      </c>
      <c r="H371" s="3" t="str">
        <v>Переадресация не обнаружена</v>
      </c>
    </row>
    <row r="372" ht="48" customHeight="1">
      <c r="A372" s="8" t="n">
        <v>371</v>
      </c>
      <c r="B372" s="3" t="str">
        <v>Филиппины</v>
      </c>
      <c r="C372" s="3" t="str">
        <v>Охват страны</v>
      </c>
      <c r="D372" s="3" t="str">
        <v>Проверенный источник для поиска</v>
      </c>
      <c r="E372" s="7" t="str">
        <v>https://www.fisp.org/members/national-societies</v>
      </c>
      <c r="F372" s="3" t="str">
        <v>Открыт; HTTP 200</v>
      </c>
      <c r="G372" s="6" t="n">
        <v>46300</v>
      </c>
      <c r="H372" s="3" t="str">
        <v>Переадресация не обнаружена</v>
      </c>
    </row>
    <row r="373" ht="48" customHeight="1">
      <c r="A373" s="8" t="n">
        <v>372</v>
      </c>
      <c r="B373" s="3" t="str">
        <v>Филиппины</v>
      </c>
      <c r="C373" s="3" t="str">
        <v>Охват страны</v>
      </c>
      <c r="D373" s="3" t="str">
        <v>Проверенный источник для поиска</v>
      </c>
      <c r="E373" s="7" t="str">
        <v>https://www.pap73.site/</v>
      </c>
      <c r="F373" s="3" t="str">
        <v>Открыт; HTTP 206</v>
      </c>
      <c r="G373" s="6" t="n">
        <v>46300</v>
      </c>
      <c r="H373" s="3" t="str">
        <v>Переадресация не обнаружена</v>
      </c>
    </row>
    <row r="374" ht="48" customHeight="1">
      <c r="A374" s="8" t="n">
        <v>373</v>
      </c>
      <c r="B374" s="3" t="str">
        <v>Филиппины</v>
      </c>
      <c r="C374" s="3" t="str">
        <v>Philippine Academy of Philosophical Research</v>
      </c>
      <c r="D374" s="3" t="str">
        <v>Национальный статус; FISP: прямое национальное членство</v>
      </c>
      <c r="E374" s="7" t="str">
        <v>https://www.fisp.org/members/national-societies</v>
      </c>
      <c r="F374" s="3" t="str">
        <v>Открыт; HTTP 200</v>
      </c>
      <c r="G374" s="6" t="n">
        <v>46300</v>
      </c>
      <c r="H374" s="3" t="str">
        <v>Переадресация не обнаружена</v>
      </c>
    </row>
    <row r="375" ht="48" customHeight="1">
      <c r="A375" s="8" t="n">
        <v>374</v>
      </c>
      <c r="B375" s="3" t="str">
        <v>Филиппины</v>
      </c>
      <c r="C375" s="3" t="str">
        <v>Philosophical Association of the Philippines, Inc.</v>
      </c>
      <c r="D375" s="3" t="str">
        <v>Основной журнал</v>
      </c>
      <c r="E375" s="7" t="str">
        <v>https://suri.pap73.site/</v>
      </c>
      <c r="F375" s="3" t="str">
        <v>Открыт; HTTP 206</v>
      </c>
      <c r="G375" s="6" t="n">
        <v>46300</v>
      </c>
      <c r="H375" s="3" t="str">
        <v>Переадресация не обнаружена</v>
      </c>
    </row>
    <row r="376" ht="48" customHeight="1">
      <c r="A376" s="8" t="n">
        <v>375</v>
      </c>
      <c r="B376" s="3" t="str">
        <v>Филиппины</v>
      </c>
      <c r="C376" s="3" t="str">
        <v>Philosophical Association of the Philippines, Inc.</v>
      </c>
      <c r="D376" s="3" t="str">
        <v>Facebook</v>
      </c>
      <c r="E376" s="7" t="str">
        <v>https://www.facebook.com/groups/PAP73</v>
      </c>
      <c r="F376" s="3" t="str">
        <v>Открыт; HTTP 200</v>
      </c>
      <c r="G376" s="6" t="n">
        <v>46300</v>
      </c>
      <c r="H376" s="7" t="str">
        <v>https://www.facebook.com/login/?next=https%3A%2F%2Fwww.facebook.com%2Fgroups%2FPAP73</v>
      </c>
    </row>
    <row r="377" ht="48" customHeight="1">
      <c r="A377" s="8" t="n">
        <v>376</v>
      </c>
      <c r="B377" s="3" t="str">
        <v>Филиппины</v>
      </c>
      <c r="C377" s="3" t="str">
        <v>Philosophical Association of the Philippines, Inc.</v>
      </c>
      <c r="D377" s="3" t="str">
        <v>FISP: прямое национальное членство</v>
      </c>
      <c r="E377" s="7" t="str">
        <v>https://www.fisp.org/members/national-societies</v>
      </c>
      <c r="F377" s="3" t="str">
        <v>Открыт; HTTP 200</v>
      </c>
      <c r="G377" s="6" t="n">
        <v>46300</v>
      </c>
      <c r="H377" s="3" t="str">
        <v>Переадресация не обнаружена</v>
      </c>
    </row>
    <row r="378" ht="48" customHeight="1">
      <c r="A378" s="8" t="n">
        <v>377</v>
      </c>
      <c r="B378" s="3" t="str">
        <v>Филиппины</v>
      </c>
      <c r="C378" s="3" t="str">
        <v>Philosophical Association of the Philippines, Inc.</v>
      </c>
      <c r="D378" s="3" t="str">
        <v>Официальный сайт; Национальный статус; Подтверждение официальных социальных сетей</v>
      </c>
      <c r="E378" s="7" t="str">
        <v>https://www.pap73.site/</v>
      </c>
      <c r="F378" s="3" t="str">
        <v>Открыт; HTTP 206</v>
      </c>
      <c r="G378" s="6" t="n">
        <v>46300</v>
      </c>
      <c r="H378" s="3" t="str">
        <v>Переадресация не обнаружена</v>
      </c>
    </row>
    <row r="379" ht="48" customHeight="1">
      <c r="A379" s="8" t="n">
        <v>378</v>
      </c>
      <c r="B379" s="3" t="str">
        <v>Филиппины</v>
      </c>
      <c r="C379" s="3" t="str">
        <v>Philosophical Association of the Philippines, Inc.</v>
      </c>
      <c r="D379" s="3" t="str">
        <v>Руководство</v>
      </c>
      <c r="E379" s="7" t="str">
        <v>https://www.pap73.site/board-members.html</v>
      </c>
      <c r="F379" s="3" t="str">
        <v>Открыт; HTTP 206</v>
      </c>
      <c r="G379" s="6" t="n">
        <v>46300</v>
      </c>
      <c r="H379" s="3" t="str">
        <v>Переадресация не обнаружена</v>
      </c>
    </row>
    <row r="380" ht="48" customHeight="1">
      <c r="A380" s="8" t="n">
        <v>379</v>
      </c>
      <c r="B380" s="3" t="str">
        <v>Филиппины</v>
      </c>
      <c r="C380" s="3" t="str">
        <v>Philosophical Association of the Philippines, Inc.</v>
      </c>
      <c r="D380" s="3" t="str">
        <v>Дополнительное подтверждение</v>
      </c>
      <c r="E380" s="7" t="str">
        <v>https://www.pap73.site/images/482474120_554891413612418_8013261265634003241_n.jpg</v>
      </c>
      <c r="F380" s="3" t="str">
        <v>Открыт; HTTP 206</v>
      </c>
      <c r="G380" s="6" t="n">
        <v>46300</v>
      </c>
      <c r="H380" s="3" t="str">
        <v>Переадресация не обнаружена</v>
      </c>
    </row>
    <row r="381" ht="48" customHeight="1">
      <c r="A381" s="8" t="n">
        <v>380</v>
      </c>
      <c r="B381" s="3" t="str">
        <v>Филиппины</v>
      </c>
      <c r="C381" s="3" t="str">
        <v>Union of Societies and Associations of Philosophy in the Philippines</v>
      </c>
      <c r="D381" s="3" t="str">
        <v>Национальный статус</v>
      </c>
      <c r="E381" s="7" t="str">
        <v>https://bisu.edu.ph/2025/06/17/philosophizing-the-filipino-soul-usapp-summit-champions-identity-ethics-and-cultural-reflection/</v>
      </c>
      <c r="F381" s="3" t="str">
        <v>Открыт; HTTP 200</v>
      </c>
      <c r="G381" s="6" t="n">
        <v>46300</v>
      </c>
      <c r="H381" s="3" t="str">
        <v>Переадресация не обнаружена</v>
      </c>
    </row>
    <row r="382" ht="48" customHeight="1">
      <c r="A382" s="8" t="n">
        <v>381</v>
      </c>
      <c r="B382" s="3" t="str">
        <v>Финляндия</v>
      </c>
      <c r="C382" s="3" t="str">
        <v>Охват страны</v>
      </c>
      <c r="D382" s="3" t="str">
        <v>Проверенный источник для поиска</v>
      </c>
      <c r="E382" s="7" t="str">
        <v>https://www.filosofinenyhdistys.fi/yhdistys/saannot/</v>
      </c>
      <c r="F382" s="3" t="str">
        <v>Открыт; HTTP 200</v>
      </c>
      <c r="G382" s="6" t="n">
        <v>46300</v>
      </c>
      <c r="H382" s="3" t="str">
        <v>Переадресация не обнаружена</v>
      </c>
    </row>
    <row r="383" ht="48" customHeight="1">
      <c r="A383" s="8" t="n">
        <v>382</v>
      </c>
      <c r="B383" s="3" t="str">
        <v>Финляндия</v>
      </c>
      <c r="C383" s="3" t="str">
        <v>Suomen Filosofinen Yhdistys</v>
      </c>
      <c r="D383" s="3" t="str">
        <v>Facebook</v>
      </c>
      <c r="E383" s="7" t="str">
        <v>https://www.facebook.com/filosofinenyhdistys/</v>
      </c>
      <c r="F383" s="3" t="str">
        <v>Открыт; HTTP 200</v>
      </c>
      <c r="G383" s="6" t="n">
        <v>46300</v>
      </c>
      <c r="H383" s="3" t="str">
        <v>Переадресация не обнаружена</v>
      </c>
    </row>
    <row r="384" ht="48" customHeight="1">
      <c r="A384" s="8" t="n">
        <v>383</v>
      </c>
      <c r="B384" s="3" t="str">
        <v>Финляндия</v>
      </c>
      <c r="C384" s="3" t="str">
        <v>Suomen Filosofinen Yhdistys</v>
      </c>
      <c r="D384" s="3" t="str">
        <v>Официальный сайт; Подтверждение официальных социальных сетей</v>
      </c>
      <c r="E384" s="7" t="str">
        <v>https://www.filosofinenyhdistys.fi/</v>
      </c>
      <c r="F384" s="3" t="str">
        <v>Открыт; HTTP 200</v>
      </c>
      <c r="G384" s="6" t="n">
        <v>46300</v>
      </c>
      <c r="H384" s="3" t="str">
        <v>Переадресация не обнаружена</v>
      </c>
    </row>
    <row r="385" ht="48" customHeight="1">
      <c r="A385" s="8" t="n">
        <v>384</v>
      </c>
      <c r="B385" s="3" t="str">
        <v>Финляндия</v>
      </c>
      <c r="C385" s="3" t="str">
        <v>Suomen Filosofinen Yhdistys</v>
      </c>
      <c r="D385" s="3" t="str">
        <v>Дополнительный журнал</v>
      </c>
      <c r="E385" s="7" t="str">
        <v>https://www.filosofinenyhdistys.fi/toiminta/acta-philosophica-fennica/</v>
      </c>
      <c r="F385" s="3" t="str">
        <v>Открыт; HTTP 200</v>
      </c>
      <c r="G385" s="6" t="n">
        <v>46300</v>
      </c>
      <c r="H385" s="3" t="str">
        <v>Переадресация не обнаружена</v>
      </c>
    </row>
    <row r="386" ht="48" customHeight="1">
      <c r="A386" s="8" t="n">
        <v>385</v>
      </c>
      <c r="B386" s="3" t="str">
        <v>Финляндия</v>
      </c>
      <c r="C386" s="3" t="str">
        <v>Suomen Filosofinen Yhdistys</v>
      </c>
      <c r="D386" s="3" t="str">
        <v>Основной журнал</v>
      </c>
      <c r="E386" s="7" t="str">
        <v>https://www.filosofinenyhdistys.fi/toiminta/ajatus/</v>
      </c>
      <c r="F386" s="3" t="str">
        <v>Открыт; HTTP 200</v>
      </c>
      <c r="G386" s="6" t="n">
        <v>46300</v>
      </c>
      <c r="H386" s="3" t="str">
        <v>Переадресация не обнаружена</v>
      </c>
    </row>
    <row r="387" ht="48" customHeight="1">
      <c r="A387" s="8" t="n">
        <v>386</v>
      </c>
      <c r="B387" s="3" t="str">
        <v>Финляндия</v>
      </c>
      <c r="C387" s="3" t="str">
        <v>Suomen Filosofinen Yhdistys</v>
      </c>
      <c r="D387" s="3" t="str">
        <v>Руководство</v>
      </c>
      <c r="E387" s="7" t="str">
        <v>https://www.filosofinenyhdistys.fi/yhdistys/hallitus/</v>
      </c>
      <c r="F387" s="3" t="str">
        <v>Открыт; HTTP 200</v>
      </c>
      <c r="G387" s="6" t="n">
        <v>46300</v>
      </c>
      <c r="H387" s="3" t="str">
        <v>Переадресация не обнаружена</v>
      </c>
    </row>
    <row r="388" ht="48" customHeight="1">
      <c r="A388" s="8" t="n">
        <v>387</v>
      </c>
      <c r="B388" s="3" t="str">
        <v>Финляндия</v>
      </c>
      <c r="C388" s="3" t="str">
        <v>Suomen Filosofinen Yhdistys</v>
      </c>
      <c r="D388" s="3" t="str">
        <v>Национальный статус</v>
      </c>
      <c r="E388" s="7" t="str">
        <v>https://www.filosofinenyhdistys.fi/yhdistys/saannot/</v>
      </c>
      <c r="F388" s="3" t="str">
        <v>Открыт; HTTP 200</v>
      </c>
      <c r="G388" s="6" t="n">
        <v>46300</v>
      </c>
      <c r="H388" s="3" t="str">
        <v>Переадресация не обнаружена</v>
      </c>
    </row>
    <row r="389" ht="48" customHeight="1">
      <c r="A389" s="8" t="n">
        <v>388</v>
      </c>
      <c r="B389" s="3" t="str">
        <v>Финляндия</v>
      </c>
      <c r="C389" s="3" t="str">
        <v>Suomen Filosofinen Yhdistys</v>
      </c>
      <c r="D389" s="3" t="str">
        <v>FISP: прямое национальное членство</v>
      </c>
      <c r="E389" s="7" t="str">
        <v>https://www.fisp.org/members/national-societies</v>
      </c>
      <c r="F389" s="3" t="str">
        <v>Открыт; HTTP 200</v>
      </c>
      <c r="G389" s="6" t="n">
        <v>46300</v>
      </c>
      <c r="H389" s="3" t="str">
        <v>Переадресация не обнаружена</v>
      </c>
    </row>
    <row r="390" ht="48" customHeight="1">
      <c r="A390" s="8" t="n">
        <v>389</v>
      </c>
      <c r="B390" s="3" t="str">
        <v>Франция</v>
      </c>
      <c r="C390" s="3" t="str">
        <v>Охват страны</v>
      </c>
      <c r="D390" s="3" t="str">
        <v>Проверенный источник для поиска</v>
      </c>
      <c r="E390" s="7" t="str">
        <v>https://www.sofrphilo.fr/</v>
      </c>
      <c r="F390" s="3" t="str">
        <v>Открыт; HTTP 200</v>
      </c>
      <c r="G390" s="6" t="n">
        <v>46300</v>
      </c>
      <c r="H390" s="3" t="str">
        <v>Переадресация не обнаружена</v>
      </c>
    </row>
    <row r="391" ht="48" customHeight="1">
      <c r="A391" s="8" t="n">
        <v>390</v>
      </c>
      <c r="B391" s="3" t="str">
        <v>Франция</v>
      </c>
      <c r="C391" s="3" t="str">
        <v>Société française de philosophie</v>
      </c>
      <c r="D391" s="3" t="str">
        <v>FISP: прямое национальное членство</v>
      </c>
      <c r="E391" s="7" t="str">
        <v>https://www.fisp.org/members/national-societies</v>
      </c>
      <c r="F391" s="3" t="str">
        <v>Открыт; HTTP 200</v>
      </c>
      <c r="G391" s="6" t="n">
        <v>46300</v>
      </c>
      <c r="H391" s="3" t="str">
        <v>Переадресация не обнаружена</v>
      </c>
    </row>
    <row r="392" ht="48" customHeight="1">
      <c r="A392" s="8" t="n">
        <v>391</v>
      </c>
      <c r="B392" s="3" t="str">
        <v>Франция</v>
      </c>
      <c r="C392" s="3" t="str">
        <v>Société française de philosophie</v>
      </c>
      <c r="D392" s="3" t="str">
        <v>Официальный сайт; Национальный статус</v>
      </c>
      <c r="E392" s="7" t="str">
        <v>https://www.sofrphilo.fr/</v>
      </c>
      <c r="F392" s="3" t="str">
        <v>Открыт; HTTP 200</v>
      </c>
      <c r="G392" s="6" t="n">
        <v>46300</v>
      </c>
      <c r="H392" s="3" t="str">
        <v>Переадресация не обнаружена</v>
      </c>
    </row>
    <row r="393" ht="48" customHeight="1">
      <c r="A393" s="8" t="n">
        <v>392</v>
      </c>
      <c r="B393" s="3" t="str">
        <v>Франция</v>
      </c>
      <c r="C393" s="3" t="str">
        <v>Société française de philosophie</v>
      </c>
      <c r="D393" s="3" t="str">
        <v>Дополнительное подтверждение</v>
      </c>
      <c r="E393" s="7" t="str">
        <v>https://www.sofrphilo.fr/activites-scientifiques-de-la-sfp/</v>
      </c>
      <c r="F393" s="3" t="str">
        <v>Открыт; HTTP 200</v>
      </c>
      <c r="G393" s="6" t="n">
        <v>46300</v>
      </c>
      <c r="H393" s="3" t="str">
        <v>Переадресация не обнаружена</v>
      </c>
    </row>
    <row r="394" ht="48" customHeight="1">
      <c r="A394" s="8" t="n">
        <v>393</v>
      </c>
      <c r="B394" s="3" t="str">
        <v>Франция</v>
      </c>
      <c r="C394" s="3" t="str">
        <v>Société française de philosophie</v>
      </c>
      <c r="D394" s="3" t="str">
        <v>Основной журнал</v>
      </c>
      <c r="E394" s="7" t="str">
        <v>https://www.sofrphilo.fr/category/bulletin-de-la-sfp/</v>
      </c>
      <c r="F394" s="3" t="str">
        <v>Открыт; HTTP 200</v>
      </c>
      <c r="G394" s="6" t="n">
        <v>46300</v>
      </c>
      <c r="H394" s="3" t="str">
        <v>Переадресация не обнаружена</v>
      </c>
    </row>
    <row r="395" ht="48" customHeight="1">
      <c r="A395" s="8" t="n">
        <v>394</v>
      </c>
      <c r="B395" s="3" t="str">
        <v>Франция</v>
      </c>
      <c r="C395" s="3" t="str">
        <v>Société française de philosophie</v>
      </c>
      <c r="D395" s="3" t="str">
        <v>Дополнительный журнал</v>
      </c>
      <c r="E395" s="7" t="str">
        <v>https://www.sofrphilo.fr/category/revue-de-metaphysique-et-de-morale/</v>
      </c>
      <c r="F395" s="3" t="str">
        <v>Открыт; HTTP 200</v>
      </c>
      <c r="G395" s="6" t="n">
        <v>46300</v>
      </c>
      <c r="H395" s="3" t="str">
        <v>Переадресация не обнаружена</v>
      </c>
    </row>
    <row r="396" ht="48" customHeight="1">
      <c r="A396" s="8" t="n">
        <v>395</v>
      </c>
      <c r="B396" s="3" t="str">
        <v>Франция</v>
      </c>
      <c r="C396" s="3" t="str">
        <v>Société française de philosophie</v>
      </c>
      <c r="D396" s="3" t="str">
        <v>Руководство</v>
      </c>
      <c r="E396" s="7" t="str">
        <v>https://www.sofrphilo.fr/la-societe-francaise-de-philosophie/bureau-et-ca/</v>
      </c>
      <c r="F396" s="3" t="str">
        <v>Открыт; HTTP 200</v>
      </c>
      <c r="G396" s="6" t="n">
        <v>46300</v>
      </c>
      <c r="H396" s="3" t="str">
        <v>Переадресация не обнаружена</v>
      </c>
    </row>
    <row r="397" ht="48" customHeight="1">
      <c r="A397" s="8" t="n">
        <v>396</v>
      </c>
      <c r="B397" s="3" t="str">
        <v>Хорватия</v>
      </c>
      <c r="C397" s="3" t="str">
        <v>Охват страны</v>
      </c>
      <c r="D397" s="3" t="str">
        <v>Проверенный источник для поиска</v>
      </c>
      <c r="E397" s="7" t="str">
        <v>https://www.hrfd.hr/o-hfd-u/statut-hfd-a/</v>
      </c>
      <c r="F397" s="3" t="str">
        <v>Открыт; HTTP 200</v>
      </c>
      <c r="G397" s="6" t="n">
        <v>46300</v>
      </c>
      <c r="H397" s="3" t="str">
        <v>Переадресация не обнаружена</v>
      </c>
    </row>
    <row r="398" ht="48" customHeight="1">
      <c r="A398" s="8" t="n">
        <v>397</v>
      </c>
      <c r="B398" s="3" t="str">
        <v>Хорватия</v>
      </c>
      <c r="C398" s="3" t="str">
        <v>Hrvatsko filozofsko društvo</v>
      </c>
      <c r="D398" s="3" t="str">
        <v>FISP: прямое национальное членство</v>
      </c>
      <c r="E398" s="7" t="str">
        <v>https://www.fisp.org/members/national-societies</v>
      </c>
      <c r="F398" s="3" t="str">
        <v>Открыт; HTTP 200</v>
      </c>
      <c r="G398" s="6" t="n">
        <v>46300</v>
      </c>
      <c r="H398" s="3" t="str">
        <v>Переадресация не обнаружена</v>
      </c>
    </row>
    <row r="399" ht="48" customHeight="1">
      <c r="A399" s="8" t="n">
        <v>398</v>
      </c>
      <c r="B399" s="3" t="str">
        <v>Хорватия</v>
      </c>
      <c r="C399" s="3" t="str">
        <v>Hrvatsko filozofsko društvo</v>
      </c>
      <c r="D399" s="3" t="str">
        <v>Официальный сайт</v>
      </c>
      <c r="E399" s="7" t="str">
        <v>https://www.hrfd.hr/</v>
      </c>
      <c r="F399" s="3" t="str">
        <v>Открыт; HTTP 200</v>
      </c>
      <c r="G399" s="6" t="n">
        <v>46300</v>
      </c>
      <c r="H399" s="3" t="str">
        <v>Переадресация не обнаружена</v>
      </c>
    </row>
    <row r="400" ht="48" customHeight="1">
      <c r="A400" s="8" t="n">
        <v>399</v>
      </c>
      <c r="B400" s="3" t="str">
        <v>Хорватия</v>
      </c>
      <c r="C400" s="3" t="str">
        <v>Hrvatsko filozofsko društvo</v>
      </c>
      <c r="D400" s="3" t="str">
        <v>Основной журнал</v>
      </c>
      <c r="E400" s="7" t="str">
        <v>https://www.hrfd.hr/filozofska-istrazivanja/</v>
      </c>
      <c r="F400" s="3" t="str">
        <v>Открыт; HTTP 200</v>
      </c>
      <c r="G400" s="6" t="n">
        <v>46300</v>
      </c>
      <c r="H400" s="3" t="str">
        <v>Переадресация не обнаружена</v>
      </c>
    </row>
    <row r="401" ht="48" customHeight="1">
      <c r="A401" s="8" t="n">
        <v>400</v>
      </c>
      <c r="B401" s="3" t="str">
        <v>Хорватия</v>
      </c>
      <c r="C401" s="3" t="str">
        <v>Hrvatsko filozofsko društvo</v>
      </c>
      <c r="D401" s="3" t="str">
        <v>Национальный статус</v>
      </c>
      <c r="E401" s="7" t="str">
        <v>https://www.hrfd.hr/o-hfd-u/statut-hfd-a/</v>
      </c>
      <c r="F401" s="3" t="str">
        <v>Открыт; HTTP 200</v>
      </c>
      <c r="G401" s="6" t="n">
        <v>46300</v>
      </c>
      <c r="H401" s="3" t="str">
        <v>Переадресация не обнаружена</v>
      </c>
    </row>
    <row r="402" ht="48" customHeight="1">
      <c r="A402" s="8" t="n">
        <v>401</v>
      </c>
      <c r="B402" s="3" t="str">
        <v>Хорватия</v>
      </c>
      <c r="C402" s="3" t="str">
        <v>Hrvatsko filozofsko društvo</v>
      </c>
      <c r="D402" s="3" t="str">
        <v>Руководство</v>
      </c>
      <c r="E402" s="7" t="str">
        <v>https://www.hrfd.hr/o-hfd-u/upravni-i-nadzorni-odbor-hfd-a/</v>
      </c>
      <c r="F402" s="3" t="str">
        <v>Открыт; HTTP 200</v>
      </c>
      <c r="G402" s="6" t="n">
        <v>46300</v>
      </c>
      <c r="H402" s="3" t="str">
        <v>Переадресация не обнаружена</v>
      </c>
    </row>
    <row r="403" ht="48" customHeight="1">
      <c r="A403" s="8" t="n">
        <v>402</v>
      </c>
      <c r="B403" s="3" t="str">
        <v>Хорватия</v>
      </c>
      <c r="C403" s="3" t="str">
        <v>Hrvatsko filozofsko društvo</v>
      </c>
      <c r="D403" s="3" t="str">
        <v>Дополнительный журнал</v>
      </c>
      <c r="E403" s="7" t="str">
        <v>https://www.hrfd.hr/synthesis-philosophica/</v>
      </c>
      <c r="F403" s="3" t="str">
        <v>Открыт; HTTP 200</v>
      </c>
      <c r="G403" s="6" t="n">
        <v>46300</v>
      </c>
      <c r="H403" s="3" t="str">
        <v>Переадресация не обнаружена</v>
      </c>
    </row>
    <row r="404" ht="48" customHeight="1">
      <c r="A404" s="8" t="n">
        <v>403</v>
      </c>
      <c r="B404" s="3" t="str">
        <v>Черногория</v>
      </c>
      <c r="C404" s="3" t="str">
        <v>Охват страны</v>
      </c>
      <c r="D404" s="3" t="str">
        <v>Проверенный источник для поиска</v>
      </c>
      <c r="E404" s="7" t="str">
        <v>https://www.fisp.org/members/national-societies</v>
      </c>
      <c r="F404" s="3" t="str">
        <v>Открыт; HTTP 200</v>
      </c>
      <c r="G404" s="6" t="n">
        <v>46300</v>
      </c>
      <c r="H404" s="3" t="str">
        <v>Переадресация не обнаружена</v>
      </c>
    </row>
    <row r="405" ht="48" customHeight="1">
      <c r="A405" s="8" t="n">
        <v>404</v>
      </c>
      <c r="B405" s="3" t="str">
        <v>Черногория</v>
      </c>
      <c r="C405" s="3" t="str">
        <v>Udruženje profesora filozofije</v>
      </c>
      <c r="D405" s="3" t="str">
        <v>Национальный статус; FISP: прямое национальное членство</v>
      </c>
      <c r="E405" s="7" t="str">
        <v>https://www.fisp.org/members/national-societies</v>
      </c>
      <c r="F405" s="3" t="str">
        <v>Открыт; HTTP 200</v>
      </c>
      <c r="G405" s="6" t="n">
        <v>46300</v>
      </c>
      <c r="H405" s="3" t="str">
        <v>Переадресация не обнаружена</v>
      </c>
    </row>
    <row r="406" ht="48" customHeight="1">
      <c r="A406" s="8" t="n">
        <v>405</v>
      </c>
      <c r="B406" s="3" t="str">
        <v>Чехия</v>
      </c>
      <c r="C406" s="3" t="str">
        <v>Охват страны</v>
      </c>
      <c r="D406" s="3" t="str">
        <v>Проверенный источник для поиска</v>
      </c>
      <c r="E406" s="7" t="str">
        <v>https://stag.upol.cz/ects/fakulty/FIF/KFI/BJ20L?lang=cs</v>
      </c>
      <c r="F406" s="3" t="str">
        <v>Открыт; HTTP 200</v>
      </c>
      <c r="G406" s="6" t="n">
        <v>46300</v>
      </c>
      <c r="H406" s="3" t="str">
        <v>Переадресация не обнаружена</v>
      </c>
    </row>
    <row r="407" ht="48" customHeight="1">
      <c r="A407" s="8" t="n">
        <v>406</v>
      </c>
      <c r="B407" s="3" t="str">
        <v>Чехия</v>
      </c>
      <c r="C407" s="3" t="str">
        <v>Jednota filozofická</v>
      </c>
      <c r="D407" s="3" t="str">
        <v>Официальный сайт</v>
      </c>
      <c r="E407" s="7" t="str">
        <v>https://jednota-filozoficka.cz/</v>
      </c>
      <c r="F407" s="3" t="str">
        <v>При проверке не открылся; HTTP 502</v>
      </c>
      <c r="G407" s="6" t="n">
        <v>46300</v>
      </c>
      <c r="H407" s="3" t="str">
        <v>Переадресация не обнаружена</v>
      </c>
    </row>
    <row r="408" ht="48" customHeight="1">
      <c r="A408" s="8" t="n">
        <v>407</v>
      </c>
      <c r="B408" s="3" t="str">
        <v>Чехия</v>
      </c>
      <c r="C408" s="3" t="str">
        <v>Jednota filozofická</v>
      </c>
      <c r="D408" s="3" t="str">
        <v>Национальный статус</v>
      </c>
      <c r="E408" s="7" t="str">
        <v>https://stag.upol.cz/ects/fakulty/FIF/KFI/BJ20L?lang=cs</v>
      </c>
      <c r="F408" s="3" t="str">
        <v>Открыт; HTTP 200</v>
      </c>
      <c r="G408" s="6" t="n">
        <v>46300</v>
      </c>
      <c r="H408" s="3" t="str">
        <v>Переадресация не обнаружена</v>
      </c>
    </row>
    <row r="409" ht="48" customHeight="1">
      <c r="A409" s="8" t="n">
        <v>408</v>
      </c>
      <c r="B409" s="3" t="str">
        <v>Чехия</v>
      </c>
      <c r="C409" s="3" t="str">
        <v>Jednota filozofická</v>
      </c>
      <c r="D409" s="3" t="str">
        <v>FISP: прямое национальное членство</v>
      </c>
      <c r="E409" s="7" t="str">
        <v>https://www.fisp.org/members/national-societies</v>
      </c>
      <c r="F409" s="3" t="str">
        <v>Открыт; HTTP 200</v>
      </c>
      <c r="G409" s="6" t="n">
        <v>46300</v>
      </c>
      <c r="H409" s="3" t="str">
        <v>Переадресация не обнаружена</v>
      </c>
    </row>
    <row r="410" ht="48" customHeight="1">
      <c r="A410" s="8" t="n">
        <v>409</v>
      </c>
      <c r="B410" s="3" t="str">
        <v>Чили</v>
      </c>
      <c r="C410" s="3" t="str">
        <v>Охват страны</v>
      </c>
      <c r="D410" s="3" t="str">
        <v>Проверенный источник для поиска</v>
      </c>
      <c r="E410" s="7" t="str">
        <v>https://www.fisp.org/members/national-societies</v>
      </c>
      <c r="F410" s="3" t="str">
        <v>Открыт; HTTP 200</v>
      </c>
      <c r="G410" s="6" t="n">
        <v>46300</v>
      </c>
      <c r="H410" s="3" t="str">
        <v>Переадресация не обнаружена</v>
      </c>
    </row>
    <row r="411" ht="48" customHeight="1">
      <c r="A411" s="8" t="n">
        <v>410</v>
      </c>
      <c r="B411" s="3" t="str">
        <v>Чили</v>
      </c>
      <c r="C411" s="3" t="str">
        <v>Asociación Chilena de Filosofía</v>
      </c>
      <c r="D411" s="3" t="str">
        <v>Руководство</v>
      </c>
      <c r="E411" s="7" t="str">
        <v>https://cs-religiosas.uct.cl/noticias/x-congreso-nacional-de-filosofia-de-la-asociacion-chilena-de-filosofia-se-realizara-en-temuco/</v>
      </c>
      <c r="F411" s="3" t="str">
        <v>Открыт; HTTP 200</v>
      </c>
      <c r="G411" s="6" t="n">
        <v>46300</v>
      </c>
      <c r="H411" s="3" t="str">
        <v>Переадресация не обнаружена</v>
      </c>
    </row>
    <row r="412" ht="48" customHeight="1">
      <c r="A412" s="8" t="n">
        <v>411</v>
      </c>
      <c r="B412" s="3" t="str">
        <v>Чили</v>
      </c>
      <c r="C412" s="3" t="str">
        <v>Asociación Chilena de Filosofía</v>
      </c>
      <c r="D412" s="3" t="str">
        <v>Официальный сайт</v>
      </c>
      <c r="E412" s="7" t="str">
        <v>https://www.achif.cl/</v>
      </c>
      <c r="F412" s="3" t="str">
        <v>При проверке не открылся; HTTP 502</v>
      </c>
      <c r="G412" s="6" t="n">
        <v>46300</v>
      </c>
      <c r="H412" s="3" t="str">
        <v>Переадресация не обнаружена</v>
      </c>
    </row>
    <row r="413" ht="48" customHeight="1">
      <c r="A413" s="8" t="n">
        <v>412</v>
      </c>
      <c r="B413" s="3" t="str">
        <v>Чили</v>
      </c>
      <c r="C413" s="3" t="str">
        <v>Asociación Chilena de Filosofía</v>
      </c>
      <c r="D413" s="3" t="str">
        <v>Национальный статус</v>
      </c>
      <c r="E413" s="7" t="str">
        <v>https://www.achif.cl/estatutos/</v>
      </c>
      <c r="F413" s="3" t="str">
        <v>При проверке не открылся; HTTP 502</v>
      </c>
      <c r="G413" s="6" t="n">
        <v>46300</v>
      </c>
      <c r="H413" s="3" t="str">
        <v>Переадресация не обнаружена</v>
      </c>
    </row>
    <row r="414" ht="48" customHeight="1">
      <c r="A414" s="8" t="n">
        <v>413</v>
      </c>
      <c r="B414" s="3" t="str">
        <v>Чили</v>
      </c>
      <c r="C414" s="3" t="str">
        <v>Asociación Chilena de Filosofía</v>
      </c>
      <c r="D414" s="3" t="str">
        <v>FISP: прямое национальное членство</v>
      </c>
      <c r="E414" s="7" t="str">
        <v>https://www.fisp.org/members/national-societies</v>
      </c>
      <c r="F414" s="3" t="str">
        <v>Открыт; HTTP 200</v>
      </c>
      <c r="G414" s="6" t="n">
        <v>46300</v>
      </c>
      <c r="H414" s="3" t="str">
        <v>Переадресация не обнаружена</v>
      </c>
    </row>
    <row r="415" ht="48" customHeight="1">
      <c r="A415" s="8" t="n">
        <v>414</v>
      </c>
      <c r="B415" s="3" t="str">
        <v>Швейцария</v>
      </c>
      <c r="C415" s="3" t="str">
        <v>Охват страны</v>
      </c>
      <c r="D415" s="3" t="str">
        <v>Проверенный источник для поиска</v>
      </c>
      <c r="E415" s="7" t="str">
        <v>https://www.sagw.ch/de/spg/die-statuten</v>
      </c>
      <c r="F415" s="3" t="str">
        <v>Открыт; HTTP 206</v>
      </c>
      <c r="G415" s="6" t="n">
        <v>46300</v>
      </c>
      <c r="H415" s="3" t="str">
        <v>Переадресация не обнаружена</v>
      </c>
    </row>
    <row r="416" ht="48" customHeight="1">
      <c r="A416" s="8" t="n">
        <v>415</v>
      </c>
      <c r="B416" s="3" t="str">
        <v>Швейцария</v>
      </c>
      <c r="C416" s="3" t="str">
        <v>Schweizerische Philosophische Gesellschaft</v>
      </c>
      <c r="D416" s="3" t="str">
        <v>FISP: прямое национальное членство</v>
      </c>
      <c r="E416" s="7" t="str">
        <v>https://www.fisp.org/members/national-societies</v>
      </c>
      <c r="F416" s="3" t="str">
        <v>Открыт; HTTP 200</v>
      </c>
      <c r="G416" s="6" t="n">
        <v>46300</v>
      </c>
      <c r="H416" s="3" t="str">
        <v>Переадресация не обнаружена</v>
      </c>
    </row>
    <row r="417" ht="48" customHeight="1">
      <c r="A417" s="8" t="n">
        <v>416</v>
      </c>
      <c r="B417" s="3" t="str">
        <v>Швейцария</v>
      </c>
      <c r="C417" s="3" t="str">
        <v>Schweizerische Philosophische Gesellschaft</v>
      </c>
      <c r="D417" s="3" t="str">
        <v>Официальный сайт</v>
      </c>
      <c r="E417" s="7" t="str">
        <v>https://www.sagw.ch/de/spg</v>
      </c>
      <c r="F417" s="3" t="str">
        <v>Открыт; HTTP 206</v>
      </c>
      <c r="G417" s="6" t="n">
        <v>46300</v>
      </c>
      <c r="H417" s="3" t="str">
        <v>Переадресация не обнаружена</v>
      </c>
    </row>
    <row r="418" ht="48" customHeight="1">
      <c r="A418" s="8" t="n">
        <v>417</v>
      </c>
      <c r="B418" s="3" t="str">
        <v>Швейцария</v>
      </c>
      <c r="C418" s="3" t="str">
        <v>Schweizerische Philosophische Gesellschaft</v>
      </c>
      <c r="D418" s="3" t="str">
        <v>Национальный статус</v>
      </c>
      <c r="E418" s="7" t="str">
        <v>https://www.sagw.ch/de/spg/die-statuten</v>
      </c>
      <c r="F418" s="3" t="str">
        <v>Открыт; HTTP 206</v>
      </c>
      <c r="G418" s="6" t="n">
        <v>46300</v>
      </c>
      <c r="H418" s="3" t="str">
        <v>Переадресация не обнаружена</v>
      </c>
    </row>
    <row r="419" ht="48" customHeight="1">
      <c r="A419" s="8" t="n">
        <v>418</v>
      </c>
      <c r="B419" s="3" t="str">
        <v>Швейцария</v>
      </c>
      <c r="C419" s="3" t="str">
        <v>Schweizerische Philosophische Gesellschaft</v>
      </c>
      <c r="D419" s="3" t="str">
        <v>Основной журнал</v>
      </c>
      <c r="E419" s="7" t="str">
        <v>https://www.sagw.ch/de/spg/publikationen</v>
      </c>
      <c r="F419" s="3" t="str">
        <v>Открыт; HTTP 206</v>
      </c>
      <c r="G419" s="6" t="n">
        <v>46300</v>
      </c>
      <c r="H419" s="3" t="str">
        <v>Переадресация не обнаружена</v>
      </c>
    </row>
    <row r="420" ht="48" customHeight="1">
      <c r="A420" s="8" t="n">
        <v>419</v>
      </c>
      <c r="B420" s="3" t="str">
        <v>Швейцария</v>
      </c>
      <c r="C420" s="3" t="str">
        <v>Schweizerische Philosophische Gesellschaft</v>
      </c>
      <c r="D420" s="3" t="str">
        <v>Руководство</v>
      </c>
      <c r="E420" s="7" t="str">
        <v>https://www.sagw.ch/de/spg/vorstand</v>
      </c>
      <c r="F420" s="3" t="str">
        <v>Открыт; HTTP 206</v>
      </c>
      <c r="G420" s="6" t="n">
        <v>46300</v>
      </c>
      <c r="H420" s="3" t="str">
        <v>Переадресация не обнаружена</v>
      </c>
    </row>
    <row r="421" ht="48" customHeight="1">
      <c r="A421" s="8" t="n">
        <v>420</v>
      </c>
      <c r="B421" s="3" t="str">
        <v>Швеция</v>
      </c>
      <c r="C421" s="3" t="str">
        <v>Охват страны</v>
      </c>
      <c r="D421" s="3" t="str">
        <v>Проверенный источник для поиска</v>
      </c>
      <c r="E421" s="7" t="str">
        <v>https://www.umu.se/en/department-of-historical-philosophical-and-religious-studies/research/our-research-subjects/philosophy/swedish-congress-of-philosophy/</v>
      </c>
      <c r="F421" s="3" t="str">
        <v>Открыт; HTTP 200</v>
      </c>
      <c r="G421" s="6" t="n">
        <v>46300</v>
      </c>
      <c r="H421" s="3" t="str">
        <v>Переадресация не обнаружена</v>
      </c>
    </row>
    <row r="422" ht="48" customHeight="1">
      <c r="A422" s="8" t="n">
        <v>421</v>
      </c>
      <c r="B422" s="3" t="str">
        <v>Швеция</v>
      </c>
      <c r="C422" s="3" t="str">
        <v>Svenska filosofisällskapet</v>
      </c>
      <c r="D422" s="3" t="str">
        <v>Национальный статус</v>
      </c>
      <c r="E422" s="7" t="str">
        <v>https://www.umu.se/en/department-of-historical-philosophical-and-religious-studies/research/our-research-subjects/philosophy/swedish-congress-of-philosophy/</v>
      </c>
      <c r="F422" s="3" t="str">
        <v>Открыт; HTTP 200</v>
      </c>
      <c r="G422" s="6" t="n">
        <v>46300</v>
      </c>
      <c r="H422" s="3" t="str">
        <v>Переадресация не обнаружена</v>
      </c>
    </row>
    <row r="423" ht="48" customHeight="1">
      <c r="A423" s="8" t="n">
        <v>422</v>
      </c>
      <c r="B423" s="3" t="str">
        <v>Эквадор</v>
      </c>
      <c r="C423" s="3" t="str">
        <v>Red Ecuatoriana de Filosofía</v>
      </c>
      <c r="D423" s="3" t="str">
        <v>Официальный сайт; Подтверждение официальных социальных сетей</v>
      </c>
      <c r="E423" s="7" t="str">
        <v>https://recfil.org/</v>
      </c>
      <c r="F423" s="3" t="str">
        <v>Открыт; HTTP 200</v>
      </c>
      <c r="G423" s="6" t="n">
        <v>46300</v>
      </c>
      <c r="H423" s="3" t="str">
        <v>Переадресация не обнаружена</v>
      </c>
    </row>
    <row r="424" ht="48" customHeight="1">
      <c r="A424" s="8" t="n">
        <v>423</v>
      </c>
      <c r="B424" s="3" t="str">
        <v>Эквадор</v>
      </c>
      <c r="C424" s="3" t="str">
        <v>Red Ecuatoriana de Filosofía</v>
      </c>
      <c r="D424" s="3" t="str">
        <v>Национальный статус</v>
      </c>
      <c r="E424" s="7" t="str">
        <v>https://recfil.org/manifiesto/</v>
      </c>
      <c r="F424" s="3" t="str">
        <v>Открыт; HTTP 200</v>
      </c>
      <c r="G424" s="6" t="n">
        <v>46300</v>
      </c>
      <c r="H424" s="3" t="str">
        <v>Переадресация не обнаружена</v>
      </c>
    </row>
    <row r="425" ht="48" customHeight="1">
      <c r="A425" s="8" t="n">
        <v>424</v>
      </c>
      <c r="B425" s="3" t="str">
        <v>Эквадор</v>
      </c>
      <c r="C425" s="3" t="str">
        <v>Red Ecuatoriana de Filosofía</v>
      </c>
      <c r="D425" s="3" t="str">
        <v>Дополнительное подтверждение</v>
      </c>
      <c r="E425" s="7" t="str">
        <v>https://recfil.org/nosotros/</v>
      </c>
      <c r="F425" s="3" t="str">
        <v>Открыт; HTTP 200</v>
      </c>
      <c r="G425" s="6" t="n">
        <v>46300</v>
      </c>
      <c r="H425" s="3" t="str">
        <v>Переадресация не обнаружена</v>
      </c>
    </row>
    <row r="426" ht="48" customHeight="1">
      <c r="A426" s="8" t="n">
        <v>425</v>
      </c>
      <c r="B426" s="3" t="str">
        <v>Эквадор</v>
      </c>
      <c r="C426" s="3" t="str">
        <v>Red Ecuatoriana de Filosofía</v>
      </c>
      <c r="D426" s="3" t="str">
        <v>Дополнительное подтверждение</v>
      </c>
      <c r="E426" s="7" t="str">
        <v>https://www.asambleanacional.gob.ec/kichwa/noticia/4335-asamblea-nacional-otorga-condecoracion-postuma-bolivar</v>
      </c>
      <c r="F426" s="3" t="str">
        <v>Открыт; HTTP 200</v>
      </c>
      <c r="G426" s="6" t="n">
        <v>46300</v>
      </c>
      <c r="H426" s="3" t="str">
        <v>Переадресация не обнаружена</v>
      </c>
    </row>
    <row r="427" ht="48" customHeight="1">
      <c r="A427" s="8" t="n">
        <v>426</v>
      </c>
      <c r="B427" s="3" t="str">
        <v>Эквадор</v>
      </c>
      <c r="C427" s="3" t="str">
        <v>Red Ecuatoriana de Filosofía</v>
      </c>
      <c r="D427" s="3" t="str">
        <v>Facebook</v>
      </c>
      <c r="E427" s="7" t="str">
        <v>https://www.facebook.com/redecuatorianafilosofia</v>
      </c>
      <c r="F427" s="3" t="str">
        <v>Открыт; HTTP 200</v>
      </c>
      <c r="G427" s="6" t="n">
        <v>46300</v>
      </c>
      <c r="H427" s="3" t="str">
        <v>Переадресация не обнаружена</v>
      </c>
    </row>
    <row r="428" ht="48" customHeight="1">
      <c r="A428" s="8" t="n">
        <v>427</v>
      </c>
      <c r="B428" s="3" t="str">
        <v>Эквадор</v>
      </c>
      <c r="C428" s="3" t="str">
        <v>Red Ecuatoriana de Filosofía</v>
      </c>
      <c r="D428" s="3" t="str">
        <v>Instagram</v>
      </c>
      <c r="E428" s="7" t="str">
        <v>https://www.instagram.com/redecuatorianadefilosofia</v>
      </c>
      <c r="F428" s="3" t="str">
        <v>Открыт; HTTP 200</v>
      </c>
      <c r="G428" s="6" t="n">
        <v>46300</v>
      </c>
      <c r="H428" s="3" t="str">
        <v>Переадресация не обнаружена</v>
      </c>
    </row>
    <row r="429" ht="48" customHeight="1">
      <c r="A429" s="8" t="n">
        <v>428</v>
      </c>
      <c r="B429" s="3" t="str">
        <v>Эквадор</v>
      </c>
      <c r="C429" s="3" t="str">
        <v>Red Ecuatoriana de Filosofía</v>
      </c>
      <c r="D429" s="3" t="str">
        <v>YouTube</v>
      </c>
      <c r="E429" s="7" t="str">
        <v>https://www.youtube.com/@redecuatorianadefilosofia</v>
      </c>
      <c r="F429" s="3" t="str">
        <v>Открыт; HTTP 200</v>
      </c>
      <c r="G429" s="6" t="n">
        <v>46300</v>
      </c>
      <c r="H429" s="7" t="str">
        <v>https://www.youtube.com/@redecuatorianadefilosofia?cbrd=1&amp;ucbcb=1</v>
      </c>
    </row>
    <row r="430" ht="48" customHeight="1">
      <c r="A430" s="8" t="n">
        <v>429</v>
      </c>
      <c r="B430" s="3" t="str">
        <v>ЮАР</v>
      </c>
      <c r="C430" s="3" t="str">
        <v>Охват страны</v>
      </c>
      <c r="D430" s="3" t="str">
        <v>Проверенный источник для поиска</v>
      </c>
      <c r="E430" s="7" t="str">
        <v>https://www.fisp.org/members/national-societies</v>
      </c>
      <c r="F430" s="3" t="str">
        <v>Открыт; HTTP 200</v>
      </c>
      <c r="G430" s="6" t="n">
        <v>46300</v>
      </c>
      <c r="H430" s="3" t="str">
        <v>Переадресация не обнаружена</v>
      </c>
    </row>
    <row r="431" ht="48" customHeight="1">
      <c r="A431" s="8" t="n">
        <v>430</v>
      </c>
      <c r="B431" s="3" t="str">
        <v>ЮАР</v>
      </c>
      <c r="C431" s="3" t="str">
        <v>Philosophical Society of Southern Africa</v>
      </c>
      <c r="D431" s="3" t="str">
        <v>Руководство</v>
      </c>
      <c r="E431" s="7" t="str">
        <v>https://ndabaonline.ukzn.ac.za/UkzndabaStory/volume-14-Issue-24/ukzn-philosophy-postgraduates-shine-at-national-symposium/</v>
      </c>
      <c r="F431" s="3" t="str">
        <v>Открыт; HTTP 200</v>
      </c>
      <c r="G431" s="6" t="n">
        <v>46300</v>
      </c>
      <c r="H431" s="3" t="str">
        <v>Переадресация не обнаружена</v>
      </c>
    </row>
    <row r="432" ht="48" customHeight="1">
      <c r="A432" s="8" t="n">
        <v>431</v>
      </c>
      <c r="B432" s="3" t="str">
        <v>ЮАР</v>
      </c>
      <c r="C432" s="3" t="str">
        <v>Philosophical Society of Southern Africa</v>
      </c>
      <c r="D432" s="3" t="str">
        <v>Официальный сайт</v>
      </c>
      <c r="E432" s="7" t="str">
        <v>https://philsafrica.wordpress.com/</v>
      </c>
      <c r="F432" s="3" t="str">
        <v>Открыт; HTTP 200</v>
      </c>
      <c r="G432" s="6" t="n">
        <v>46300</v>
      </c>
      <c r="H432" s="3" t="str">
        <v>Переадресация не обнаружена</v>
      </c>
    </row>
    <row r="433" ht="48" customHeight="1">
      <c r="A433" s="8" t="n">
        <v>432</v>
      </c>
      <c r="B433" s="3" t="str">
        <v>ЮАР</v>
      </c>
      <c r="C433" s="3" t="str">
        <v>Philosophical Society of Southern Africa</v>
      </c>
      <c r="D433" s="3" t="str">
        <v>Национальный статус; FISP: прямое национальное членство</v>
      </c>
      <c r="E433" s="7" t="str">
        <v>https://www.fisp.org/members/national-societies</v>
      </c>
      <c r="F433" s="3" t="str">
        <v>Открыт; HTTP 200</v>
      </c>
      <c r="G433" s="6" t="n">
        <v>46300</v>
      </c>
      <c r="H433" s="3" t="str">
        <v>Переадресация не обнаружена</v>
      </c>
    </row>
    <row r="434" ht="48" customHeight="1">
      <c r="A434" s="8" t="n">
        <v>433</v>
      </c>
      <c r="B434" s="3" t="str">
        <v>ЮАР</v>
      </c>
      <c r="C434" s="3" t="str">
        <v>Philosophical Society of Southern Africa</v>
      </c>
      <c r="D434" s="3" t="str">
        <v>Основной журнал</v>
      </c>
      <c r="E434" s="7" t="str">
        <v>https://www.tandfonline.com/journals/rsph20</v>
      </c>
      <c r="F434" s="3" t="str">
        <v>Автоматический доступ ограничен; HTTP 403</v>
      </c>
      <c r="G434" s="6" t="n">
        <v>46300</v>
      </c>
      <c r="H434" s="3" t="str">
        <v>Переадресация не обнаружена</v>
      </c>
    </row>
    <row r="435" ht="48" customHeight="1">
      <c r="A435" s="8" t="n">
        <v>434</v>
      </c>
      <c r="B435" s="3" t="str">
        <v>Южная Корея</v>
      </c>
      <c r="C435" s="3" t="str">
        <v>Охват страны</v>
      </c>
      <c r="D435" s="3" t="str">
        <v>Проверенный источник для поиска</v>
      </c>
      <c r="E435" s="7" t="str">
        <v>https://hanchul.org/</v>
      </c>
      <c r="F435" s="3" t="str">
        <v>Открыт; HTTP 200</v>
      </c>
      <c r="G435" s="6" t="n">
        <v>46300</v>
      </c>
      <c r="H435" s="3" t="str">
        <v>Переадресация не обнаружена</v>
      </c>
    </row>
    <row r="436" ht="48" customHeight="1">
      <c r="A436" s="8" t="n">
        <v>435</v>
      </c>
      <c r="B436" s="3" t="str">
        <v>Южная Корея</v>
      </c>
      <c r="C436" s="3" t="str">
        <v>한국철학회</v>
      </c>
      <c r="D436" s="3" t="str">
        <v>Официальный сайт; Национальный статус</v>
      </c>
      <c r="E436" s="7" t="str">
        <v>https://hanchul.org/</v>
      </c>
      <c r="F436" s="3" t="str">
        <v>Открыт; HTTP 200</v>
      </c>
      <c r="G436" s="6" t="n">
        <v>46300</v>
      </c>
      <c r="H436" s="3" t="str">
        <v>Переадресация не обнаружена</v>
      </c>
    </row>
    <row r="437" ht="48" customHeight="1">
      <c r="A437" s="8" t="n">
        <v>436</v>
      </c>
      <c r="B437" s="3" t="str">
        <v>Южная Корея</v>
      </c>
      <c r="C437" s="3" t="str">
        <v>한국철학회</v>
      </c>
      <c r="D437" s="3" t="str">
        <v>Руководство</v>
      </c>
      <c r="E437" s="7" t="str">
        <v>https://hanchul.org/homepage/custom/greeting</v>
      </c>
      <c r="F437" s="3" t="str">
        <v>Открыт; HTTP 200</v>
      </c>
      <c r="G437" s="6" t="n">
        <v>46300</v>
      </c>
      <c r="H437" s="3" t="str">
        <v>Переадресация не обнаружена</v>
      </c>
    </row>
    <row r="438" ht="48" customHeight="1">
      <c r="A438" s="8" t="n">
        <v>437</v>
      </c>
      <c r="B438" s="3" t="str">
        <v>Южная Корея</v>
      </c>
      <c r="C438" s="3" t="str">
        <v>한국철학회</v>
      </c>
      <c r="D438" s="3" t="str">
        <v>Основной журнал</v>
      </c>
      <c r="E438" s="7" t="str">
        <v>https://philosophy.jams.or.kr/co/main/jmMain.kci</v>
      </c>
      <c r="F438" s="3" t="str">
        <v>Открыт; HTTP 200</v>
      </c>
      <c r="G438" s="6" t="n">
        <v>46300</v>
      </c>
      <c r="H438" s="3" t="str">
        <v>Переадресация не обнаружена</v>
      </c>
    </row>
    <row r="439" ht="48" customHeight="1">
      <c r="A439" s="8" t="n">
        <v>438</v>
      </c>
      <c r="B439" s="3" t="str">
        <v>Южная Корея</v>
      </c>
      <c r="C439" s="3" t="str">
        <v>한국철학회</v>
      </c>
      <c r="D439" s="3" t="str">
        <v>FISP: прямое национальное членство</v>
      </c>
      <c r="E439" s="7" t="str">
        <v>https://www.fisp.org/members/national-societies</v>
      </c>
      <c r="F439" s="3" t="str">
        <v>Открыт; HTTP 200</v>
      </c>
      <c r="G439" s="6" t="n">
        <v>46300</v>
      </c>
      <c r="H439" s="3" t="str">
        <v>Переадресация не обнаружена</v>
      </c>
    </row>
    <row r="440" ht="48" customHeight="1">
      <c r="A440" s="8" t="n">
        <v>439</v>
      </c>
      <c r="B440" s="3" t="str">
        <v>Япония</v>
      </c>
      <c r="C440" s="3" t="str">
        <v>Охват страны</v>
      </c>
      <c r="D440" s="3" t="str">
        <v>Проверенный источник для поиска</v>
      </c>
      <c r="E440" s="7" t="str">
        <v>https://philosophy-japan.org/category/summary/</v>
      </c>
      <c r="F440" s="3" t="str">
        <v>Открыт; HTTP 200</v>
      </c>
      <c r="G440" s="6" t="n">
        <v>46300</v>
      </c>
      <c r="H440" s="3" t="str">
        <v>Переадресация не обнаружена</v>
      </c>
    </row>
    <row r="441" ht="48" customHeight="1">
      <c r="A441" s="8" t="n">
        <v>440</v>
      </c>
      <c r="B441" s="3" t="str">
        <v>Япония</v>
      </c>
      <c r="C441" s="3" t="str">
        <v>Охват страны</v>
      </c>
      <c r="D441" s="3" t="str">
        <v>Проверенный источник для поиска</v>
      </c>
      <c r="E441" s="7" t="str">
        <v>https://www.fisp.org/members/national-societies</v>
      </c>
      <c r="F441" s="3" t="str">
        <v>Открыт; HTTP 200</v>
      </c>
      <c r="G441" s="6" t="n">
        <v>46300</v>
      </c>
      <c r="H441" s="3" t="str">
        <v>Переадресация не обнаружена</v>
      </c>
    </row>
    <row r="442" ht="48" customHeight="1">
      <c r="A442" s="8" t="n">
        <v>441</v>
      </c>
      <c r="B442" s="3" t="str">
        <v>Япония</v>
      </c>
      <c r="C442" s="3" t="str">
        <v>日本哲学会</v>
      </c>
      <c r="D442" s="3" t="str">
        <v>Официальный сайт; Подтверждение официальных социальных сетей</v>
      </c>
      <c r="E442" s="7" t="str">
        <v>https://philosophy-japan.org/</v>
      </c>
      <c r="F442" s="3" t="str">
        <v>Открыт; HTTP 200</v>
      </c>
      <c r="G442" s="6" t="n">
        <v>46300</v>
      </c>
      <c r="H442" s="3" t="str">
        <v>Переадресация не обнаружена</v>
      </c>
    </row>
    <row r="443" ht="48" customHeight="1">
      <c r="A443" s="8" t="n">
        <v>442</v>
      </c>
      <c r="B443" s="3" t="str">
        <v>Япония</v>
      </c>
      <c r="C443" s="3" t="str">
        <v>日本哲学会</v>
      </c>
      <c r="D443" s="3" t="str">
        <v>Основной журнал</v>
      </c>
      <c r="E443" s="7" t="str">
        <v>https://philosophy-japan.org/category/bulletin/</v>
      </c>
      <c r="F443" s="3" t="str">
        <v>Открыт; HTTP 200</v>
      </c>
      <c r="G443" s="6" t="n">
        <v>46300</v>
      </c>
      <c r="H443" s="3" t="str">
        <v>Переадресация не обнаружена</v>
      </c>
    </row>
    <row r="444" ht="48" customHeight="1">
      <c r="A444" s="8" t="n">
        <v>443</v>
      </c>
      <c r="B444" s="3" t="str">
        <v>Япония</v>
      </c>
      <c r="C444" s="3" t="str">
        <v>日本哲学会</v>
      </c>
      <c r="D444" s="3" t="str">
        <v>Национальный статус</v>
      </c>
      <c r="E444" s="7" t="str">
        <v>https://philosophy-japan.org/category/summary/</v>
      </c>
      <c r="F444" s="3" t="str">
        <v>Открыт; HTTP 200</v>
      </c>
      <c r="G444" s="6" t="n">
        <v>46300</v>
      </c>
      <c r="H444" s="3" t="str">
        <v>Переадресация не обнаружена</v>
      </c>
    </row>
    <row r="445" ht="48" customHeight="1">
      <c r="A445" s="8" t="n">
        <v>444</v>
      </c>
      <c r="B445" s="3" t="str">
        <v>Япония</v>
      </c>
      <c r="C445" s="3" t="str">
        <v>日本哲学会</v>
      </c>
      <c r="D445" s="3" t="str">
        <v>Дополнительный журнал</v>
      </c>
      <c r="E445" s="7" t="str">
        <v>https://philosophy-japan.org/category/tetsugaku/</v>
      </c>
      <c r="F445" s="3" t="str">
        <v>Открыт; HTTP 200</v>
      </c>
      <c r="G445" s="6" t="n">
        <v>46300</v>
      </c>
      <c r="H445" s="3" t="str">
        <v>Переадресация не обнаружена</v>
      </c>
    </row>
    <row r="446" ht="48" customHeight="1">
      <c r="A446" s="8" t="n">
        <v>445</v>
      </c>
      <c r="B446" s="3" t="str">
        <v>Япония</v>
      </c>
      <c r="C446" s="3" t="str">
        <v>日本哲学会</v>
      </c>
      <c r="D446" s="3" t="str">
        <v>Руководство</v>
      </c>
      <c r="E446" s="7" t="str">
        <v>https://philosophy-japan.org/summary/yakuin_2025-2026/</v>
      </c>
      <c r="F446" s="3" t="str">
        <v>Открыт; HTTP 200</v>
      </c>
      <c r="G446" s="6" t="n">
        <v>46300</v>
      </c>
      <c r="H446" s="3" t="str">
        <v>Переадресация не обнаружена</v>
      </c>
    </row>
    <row r="447" ht="48" customHeight="1">
      <c r="A447" s="8" t="n">
        <v>446</v>
      </c>
      <c r="B447" s="3" t="str">
        <v>Япония</v>
      </c>
      <c r="C447" s="3" t="str">
        <v>日本哲学会</v>
      </c>
      <c r="D447" s="3" t="str">
        <v>Facebook</v>
      </c>
      <c r="E447" s="7" t="str">
        <v>https://www.facebook.com/philosophy.japan.org</v>
      </c>
      <c r="F447" s="3" t="str">
        <v>Открыт; HTTP 200</v>
      </c>
      <c r="G447" s="6" t="n">
        <v>46300</v>
      </c>
      <c r="H447" s="7" t="str">
        <v>https://www.facebook.com/login/?next=https%3A%2F%2Fwww.facebook.com%2Fphilosophy.japan.org</v>
      </c>
    </row>
    <row r="448" ht="48" customHeight="1">
      <c r="A448" s="8" t="n">
        <v>447</v>
      </c>
      <c r="B448" s="3" t="str">
        <v>Япония</v>
      </c>
      <c r="C448" s="3" t="str">
        <v>日本哲学系諸学会連合</v>
      </c>
      <c r="D448" s="3" t="str">
        <v>Национальный статус; FISP: прямое национальное членство</v>
      </c>
      <c r="E448" s="7" t="str">
        <v>https://www.fisp.org/members/national-societies</v>
      </c>
      <c r="F448" s="3" t="str">
        <v>Открыт; HTTP 200</v>
      </c>
      <c r="G448" s="6" t="n">
        <v>46300</v>
      </c>
      <c r="H448" s="3" t="str">
        <v>Переадресация не обнаружена</v>
      </c>
    </row>
  </sheetData>
  <hyperlinks>
    <hyperlink ref="E2" r:id="rIdURL1"/>
    <hyperlink ref="E3" r:id="rIdURL2"/>
    <hyperlink ref="E4" r:id="rIdURL3"/>
    <hyperlink ref="E5" r:id="rIdURL4"/>
    <hyperlink ref="E6" r:id="rIdURL5"/>
    <hyperlink ref="E7" r:id="rIdURL6"/>
    <hyperlink ref="E8" r:id="rIdURL7"/>
    <hyperlink ref="H8" r:id="rIdURL8"/>
    <hyperlink ref="E9" r:id="rIdURL9"/>
    <hyperlink ref="E10" r:id="rIdURL10"/>
    <hyperlink ref="E11" r:id="rIdURL11"/>
    <hyperlink ref="H11" r:id="rIdURL12"/>
    <hyperlink ref="E12" r:id="rIdURL13"/>
    <hyperlink ref="E13" r:id="rIdURL14"/>
    <hyperlink ref="E14" r:id="rIdURL15"/>
    <hyperlink ref="E15" r:id="rIdURL16"/>
    <hyperlink ref="E16" r:id="rIdURL17"/>
    <hyperlink ref="E17" r:id="rIdURL18"/>
    <hyperlink ref="E18" r:id="rIdURL19"/>
    <hyperlink ref="E19" r:id="rIdURL20"/>
    <hyperlink ref="E20" r:id="rIdURL21"/>
    <hyperlink ref="E21" r:id="rIdURL22"/>
    <hyperlink ref="E22" r:id="rIdURL23"/>
    <hyperlink ref="E23" r:id="rIdURL24"/>
    <hyperlink ref="E24" r:id="rIdURL25"/>
    <hyperlink ref="E25" r:id="rIdURL26"/>
    <hyperlink ref="E26" r:id="rIdURL27"/>
    <hyperlink ref="E27" r:id="rIdURL28"/>
    <hyperlink ref="E28" r:id="rIdURL29"/>
    <hyperlink ref="E29" r:id="rIdURL30"/>
    <hyperlink ref="E30" r:id="rIdURL31"/>
    <hyperlink ref="E31" r:id="rIdURL32"/>
    <hyperlink ref="E32" r:id="rIdURL33"/>
    <hyperlink ref="E33" r:id="rIdURL34"/>
    <hyperlink ref="E34" r:id="rIdURL35"/>
    <hyperlink ref="E35" r:id="rIdURL36"/>
    <hyperlink ref="E36" r:id="rIdURL37"/>
    <hyperlink ref="E37" r:id="rIdURL38"/>
    <hyperlink ref="E38" r:id="rIdURL39"/>
    <hyperlink ref="E39" r:id="rIdURL40"/>
    <hyperlink ref="E40" r:id="rIdURL41"/>
    <hyperlink ref="E41" r:id="rIdURL42"/>
    <hyperlink ref="E42" r:id="rIdURL43"/>
    <hyperlink ref="E43" r:id="rIdURL44"/>
    <hyperlink ref="E44" r:id="rIdURL45"/>
    <hyperlink ref="E45" r:id="rIdURL46"/>
    <hyperlink ref="E46" r:id="rIdURL47"/>
    <hyperlink ref="E47" r:id="rIdURL48"/>
    <hyperlink ref="E48" r:id="rIdURL49"/>
    <hyperlink ref="E49" r:id="rIdURL50"/>
    <hyperlink ref="E50" r:id="rIdURL51"/>
    <hyperlink ref="E51" r:id="rIdURL52"/>
    <hyperlink ref="E52" r:id="rIdURL53"/>
    <hyperlink ref="E53" r:id="rIdURL54"/>
    <hyperlink ref="H53" r:id="rIdURL55"/>
    <hyperlink ref="E54" r:id="rIdURL56"/>
    <hyperlink ref="E55" r:id="rIdURL57"/>
    <hyperlink ref="E56" r:id="rIdURL58"/>
    <hyperlink ref="H56" r:id="rIdURL59"/>
    <hyperlink ref="E57" r:id="rIdURL60"/>
    <hyperlink ref="E58" r:id="rIdURL61"/>
    <hyperlink ref="E59" r:id="rIdURL62"/>
    <hyperlink ref="E60" r:id="rIdURL63"/>
    <hyperlink ref="E61" r:id="rIdURL64"/>
    <hyperlink ref="E62" r:id="rIdURL65"/>
    <hyperlink ref="E63" r:id="rIdURL66"/>
    <hyperlink ref="E64" r:id="rIdURL67"/>
    <hyperlink ref="E65" r:id="rIdURL68"/>
    <hyperlink ref="E66" r:id="rIdURL69"/>
    <hyperlink ref="E67" r:id="rIdURL70"/>
    <hyperlink ref="E68" r:id="rIdURL71"/>
    <hyperlink ref="E69" r:id="rIdURL72"/>
    <hyperlink ref="H69" r:id="rIdURL73"/>
    <hyperlink ref="E70" r:id="rIdURL74"/>
    <hyperlink ref="E71" r:id="rIdURL75"/>
    <hyperlink ref="E72" r:id="rIdURL76"/>
    <hyperlink ref="E73" r:id="rIdURL77"/>
    <hyperlink ref="E74" r:id="rIdURL78"/>
    <hyperlink ref="E75" r:id="rIdURL79"/>
    <hyperlink ref="E76" r:id="rIdURL80"/>
    <hyperlink ref="E77" r:id="rIdURL81"/>
    <hyperlink ref="E78" r:id="rIdURL82"/>
    <hyperlink ref="E79" r:id="rIdURL83"/>
    <hyperlink ref="E80" r:id="rIdURL84"/>
    <hyperlink ref="E81" r:id="rIdURL85"/>
    <hyperlink ref="E82" r:id="rIdURL86"/>
    <hyperlink ref="H82" r:id="rIdURL87"/>
    <hyperlink ref="E83" r:id="rIdURL88"/>
    <hyperlink ref="E84" r:id="rIdURL89"/>
    <hyperlink ref="E85" r:id="rIdURL90"/>
    <hyperlink ref="E86" r:id="rIdURL91"/>
    <hyperlink ref="E87" r:id="rIdURL92"/>
    <hyperlink ref="E88" r:id="rIdURL93"/>
    <hyperlink ref="E89" r:id="rIdURL94"/>
    <hyperlink ref="E90" r:id="rIdURL95"/>
    <hyperlink ref="E91" r:id="rIdURL96"/>
    <hyperlink ref="E92" r:id="rIdURL97"/>
    <hyperlink ref="E93" r:id="rIdURL98"/>
    <hyperlink ref="E94" r:id="rIdURL99"/>
    <hyperlink ref="E95" r:id="rIdURL100"/>
    <hyperlink ref="E96" r:id="rIdURL101"/>
    <hyperlink ref="E97" r:id="rIdURL102"/>
    <hyperlink ref="H97" r:id="rIdURL103"/>
    <hyperlink ref="E98" r:id="rIdURL104"/>
    <hyperlink ref="H98" r:id="rIdURL105"/>
    <hyperlink ref="E99" r:id="rIdURL106"/>
    <hyperlink ref="E100" r:id="rIdURL107"/>
    <hyperlink ref="E101" r:id="rIdURL108"/>
    <hyperlink ref="E102" r:id="rIdURL109"/>
    <hyperlink ref="E103" r:id="rIdURL110"/>
    <hyperlink ref="E104" r:id="rIdURL111"/>
    <hyperlink ref="E105" r:id="rIdURL112"/>
    <hyperlink ref="E106" r:id="rIdURL113"/>
    <hyperlink ref="E107" r:id="rIdURL114"/>
    <hyperlink ref="E108" r:id="rIdURL115"/>
    <hyperlink ref="E109" r:id="rIdURL116"/>
    <hyperlink ref="H109" r:id="rIdURL117"/>
    <hyperlink ref="E110" r:id="rIdURL118"/>
    <hyperlink ref="E111" r:id="rIdURL119"/>
    <hyperlink ref="E112" r:id="rIdURL120"/>
    <hyperlink ref="E113" r:id="rIdURL121"/>
    <hyperlink ref="E114" r:id="rIdURL122"/>
    <hyperlink ref="E115" r:id="rIdURL123"/>
    <hyperlink ref="E116" r:id="rIdURL124"/>
    <hyperlink ref="E117" r:id="rIdURL125"/>
    <hyperlink ref="E118" r:id="rIdURL126"/>
    <hyperlink ref="E119" r:id="rIdURL127"/>
    <hyperlink ref="E120" r:id="rIdURL128"/>
    <hyperlink ref="E121" r:id="rIdURL129"/>
    <hyperlink ref="E122" r:id="rIdURL130"/>
    <hyperlink ref="E123" r:id="rIdURL131"/>
    <hyperlink ref="E124" r:id="rIdURL132"/>
    <hyperlink ref="E125" r:id="rIdURL133"/>
    <hyperlink ref="E126" r:id="rIdURL134"/>
    <hyperlink ref="E127" r:id="rIdURL135"/>
    <hyperlink ref="E128" r:id="rIdURL136"/>
    <hyperlink ref="E129" r:id="rIdURL137"/>
    <hyperlink ref="E130" r:id="rIdURL138"/>
    <hyperlink ref="E131" r:id="rIdURL139"/>
    <hyperlink ref="E132" r:id="rIdURL140"/>
    <hyperlink ref="E133" r:id="rIdURL141"/>
    <hyperlink ref="E134" r:id="rIdURL142"/>
    <hyperlink ref="E135" r:id="rIdURL143"/>
    <hyperlink ref="E136" r:id="rIdURL144"/>
    <hyperlink ref="H136" r:id="rIdURL145"/>
    <hyperlink ref="E137" r:id="rIdURL146"/>
    <hyperlink ref="E138" r:id="rIdURL147"/>
    <hyperlink ref="E139" r:id="rIdURL148"/>
    <hyperlink ref="E140" r:id="rIdURL149"/>
    <hyperlink ref="E141" r:id="rIdURL150"/>
    <hyperlink ref="E142" r:id="rIdURL151"/>
    <hyperlink ref="E143" r:id="rIdURL152"/>
    <hyperlink ref="E144" r:id="rIdURL153"/>
    <hyperlink ref="H144" r:id="rIdURL154"/>
    <hyperlink ref="E145" r:id="rIdURL155"/>
    <hyperlink ref="E146" r:id="rIdURL156"/>
    <hyperlink ref="E147" r:id="rIdURL157"/>
    <hyperlink ref="E148" r:id="rIdURL158"/>
    <hyperlink ref="E149" r:id="rIdURL159"/>
    <hyperlink ref="E150" r:id="rIdURL160"/>
    <hyperlink ref="E151" r:id="rIdURL161"/>
    <hyperlink ref="E152" r:id="rIdURL162"/>
    <hyperlink ref="E153" r:id="rIdURL163"/>
    <hyperlink ref="E154" r:id="rIdURL164"/>
    <hyperlink ref="E155" r:id="rIdURL165"/>
    <hyperlink ref="E156" r:id="rIdURL166"/>
    <hyperlink ref="E157" r:id="rIdURL167"/>
    <hyperlink ref="H157" r:id="rIdURL168"/>
    <hyperlink ref="E158" r:id="rIdURL169"/>
    <hyperlink ref="H158" r:id="rIdURL170"/>
    <hyperlink ref="E159" r:id="rIdURL171"/>
    <hyperlink ref="E160" r:id="rIdURL172"/>
    <hyperlink ref="E161" r:id="rIdURL173"/>
    <hyperlink ref="E162" r:id="rIdURL174"/>
    <hyperlink ref="E163" r:id="rIdURL175"/>
    <hyperlink ref="E164" r:id="rIdURL176"/>
    <hyperlink ref="E165" r:id="rIdURL177"/>
    <hyperlink ref="E166" r:id="rIdURL178"/>
    <hyperlink ref="E167" r:id="rIdURL179"/>
    <hyperlink ref="E168" r:id="rIdURL180"/>
    <hyperlink ref="H168" r:id="rIdURL181"/>
    <hyperlink ref="E169" r:id="rIdURL182"/>
    <hyperlink ref="E170" r:id="rIdURL183"/>
    <hyperlink ref="E171" r:id="rIdURL184"/>
    <hyperlink ref="E172" r:id="rIdURL185"/>
    <hyperlink ref="E173" r:id="rIdURL186"/>
    <hyperlink ref="E174" r:id="rIdURL187"/>
    <hyperlink ref="H174" r:id="rIdURL188"/>
    <hyperlink ref="E175" r:id="rIdURL189"/>
    <hyperlink ref="E176" r:id="rIdURL190"/>
    <hyperlink ref="E177" r:id="rIdURL191"/>
    <hyperlink ref="E178" r:id="rIdURL192"/>
    <hyperlink ref="E179" r:id="rIdURL193"/>
    <hyperlink ref="H179" r:id="rIdURL194"/>
    <hyperlink ref="E180" r:id="rIdURL195"/>
    <hyperlink ref="E181" r:id="rIdURL196"/>
    <hyperlink ref="E182" r:id="rIdURL197"/>
    <hyperlink ref="E183" r:id="rIdURL198"/>
    <hyperlink ref="E184" r:id="rIdURL199"/>
    <hyperlink ref="H184" r:id="rIdURL200"/>
    <hyperlink ref="E185" r:id="rIdURL201"/>
    <hyperlink ref="E186" r:id="rIdURL202"/>
    <hyperlink ref="E187" r:id="rIdURL203"/>
    <hyperlink ref="E188" r:id="rIdURL204"/>
    <hyperlink ref="E189" r:id="rIdURL205"/>
    <hyperlink ref="E190" r:id="rIdURL206"/>
    <hyperlink ref="E191" r:id="rIdURL207"/>
    <hyperlink ref="E192" r:id="rIdURL208"/>
    <hyperlink ref="E193" r:id="rIdURL209"/>
    <hyperlink ref="E194" r:id="rIdURL210"/>
    <hyperlink ref="E195" r:id="rIdURL211"/>
    <hyperlink ref="E196" r:id="rIdURL212"/>
    <hyperlink ref="E197" r:id="rIdURL213"/>
    <hyperlink ref="E198" r:id="rIdURL214"/>
    <hyperlink ref="E199" r:id="rIdURL215"/>
    <hyperlink ref="E200" r:id="rIdURL216"/>
    <hyperlink ref="E201" r:id="rIdURL217"/>
    <hyperlink ref="E202" r:id="rIdURL218"/>
    <hyperlink ref="E203" r:id="rIdURL219"/>
    <hyperlink ref="E204" r:id="rIdURL220"/>
    <hyperlink ref="E205" r:id="rIdURL221"/>
    <hyperlink ref="E206" r:id="rIdURL222"/>
    <hyperlink ref="E207" r:id="rIdURL223"/>
    <hyperlink ref="E208" r:id="rIdURL224"/>
    <hyperlink ref="E209" r:id="rIdURL225"/>
    <hyperlink ref="E210" r:id="rIdURL226"/>
    <hyperlink ref="E211" r:id="rIdURL227"/>
    <hyperlink ref="H211" r:id="rIdURL228"/>
    <hyperlink ref="E212" r:id="rIdURL229"/>
    <hyperlink ref="H212" r:id="rIdURL230"/>
    <hyperlink ref="E213" r:id="rIdURL231"/>
    <hyperlink ref="E214" r:id="rIdURL232"/>
    <hyperlink ref="E215" r:id="rIdURL233"/>
    <hyperlink ref="E216" r:id="rIdURL234"/>
    <hyperlink ref="E217" r:id="rIdURL235"/>
    <hyperlink ref="E218" r:id="rIdURL236"/>
    <hyperlink ref="E219" r:id="rIdURL237"/>
    <hyperlink ref="E220" r:id="rIdURL238"/>
    <hyperlink ref="E221" r:id="rIdURL239"/>
    <hyperlink ref="E222" r:id="rIdURL240"/>
    <hyperlink ref="E223" r:id="rIdURL241"/>
    <hyperlink ref="E224" r:id="rIdURL242"/>
    <hyperlink ref="E225" r:id="rIdURL243"/>
    <hyperlink ref="E226" r:id="rIdURL244"/>
    <hyperlink ref="E227" r:id="rIdURL245"/>
    <hyperlink ref="H227" r:id="rIdURL246"/>
    <hyperlink ref="E228" r:id="rIdURL247"/>
    <hyperlink ref="E229" r:id="rIdURL248"/>
    <hyperlink ref="E230" r:id="rIdURL249"/>
    <hyperlink ref="E231" r:id="rIdURL250"/>
    <hyperlink ref="E232" r:id="rIdURL251"/>
    <hyperlink ref="E233" r:id="rIdURL252"/>
    <hyperlink ref="E234" r:id="rIdURL253"/>
    <hyperlink ref="E235" r:id="rIdURL254"/>
    <hyperlink ref="E236" r:id="rIdURL255"/>
    <hyperlink ref="E237" r:id="rIdURL256"/>
    <hyperlink ref="E238" r:id="rIdURL257"/>
    <hyperlink ref="E239" r:id="rIdURL258"/>
    <hyperlink ref="E240" r:id="rIdURL259"/>
    <hyperlink ref="E241" r:id="rIdURL260"/>
    <hyperlink ref="E242" r:id="rIdURL261"/>
    <hyperlink ref="E243" r:id="rIdURL262"/>
    <hyperlink ref="E244" r:id="rIdURL263"/>
    <hyperlink ref="E245" r:id="rIdURL264"/>
    <hyperlink ref="E246" r:id="rIdURL265"/>
    <hyperlink ref="E247" r:id="rIdURL266"/>
    <hyperlink ref="E248" r:id="rIdURL267"/>
    <hyperlink ref="E249" r:id="rIdURL268"/>
    <hyperlink ref="E250" r:id="rIdURL269"/>
    <hyperlink ref="E251" r:id="rIdURL270"/>
    <hyperlink ref="E252" r:id="rIdURL271"/>
    <hyperlink ref="E253" r:id="rIdURL272"/>
    <hyperlink ref="E254" r:id="rIdURL273"/>
    <hyperlink ref="E255" r:id="rIdURL274"/>
    <hyperlink ref="E256" r:id="rIdURL275"/>
    <hyperlink ref="E257" r:id="rIdURL276"/>
    <hyperlink ref="E258" r:id="rIdURL277"/>
    <hyperlink ref="E259" r:id="rIdURL278"/>
    <hyperlink ref="E260" r:id="rIdURL279"/>
    <hyperlink ref="E261" r:id="rIdURL280"/>
    <hyperlink ref="H261" r:id="rIdURL281"/>
    <hyperlink ref="E262" r:id="rIdURL282"/>
    <hyperlink ref="H262" r:id="rIdURL283"/>
    <hyperlink ref="E263" r:id="rIdURL284"/>
    <hyperlink ref="E264" r:id="rIdURL285"/>
    <hyperlink ref="E265" r:id="rIdURL286"/>
    <hyperlink ref="E266" r:id="rIdURL287"/>
    <hyperlink ref="E267" r:id="rIdURL288"/>
    <hyperlink ref="E268" r:id="rIdURL289"/>
    <hyperlink ref="E269" r:id="rIdURL290"/>
    <hyperlink ref="E270" r:id="rIdURL291"/>
    <hyperlink ref="E271" r:id="rIdURL292"/>
    <hyperlink ref="E272" r:id="rIdURL293"/>
    <hyperlink ref="E273" r:id="rIdURL294"/>
    <hyperlink ref="E274" r:id="rIdURL295"/>
    <hyperlink ref="E275" r:id="rIdURL296"/>
    <hyperlink ref="E276" r:id="rIdURL297"/>
    <hyperlink ref="E277" r:id="rIdURL298"/>
    <hyperlink ref="E278" r:id="rIdURL299"/>
    <hyperlink ref="E279" r:id="rIdURL300"/>
    <hyperlink ref="E280" r:id="rIdURL301"/>
    <hyperlink ref="H280" r:id="rIdURL302"/>
    <hyperlink ref="E281" r:id="rIdURL303"/>
    <hyperlink ref="E282" r:id="rIdURL304"/>
    <hyperlink ref="E283" r:id="rIdURL305"/>
    <hyperlink ref="E284" r:id="rIdURL306"/>
    <hyperlink ref="E285" r:id="rIdURL307"/>
    <hyperlink ref="E286" r:id="rIdURL308"/>
    <hyperlink ref="E287" r:id="rIdURL309"/>
    <hyperlink ref="E288" r:id="rIdURL310"/>
    <hyperlink ref="E289" r:id="rIdURL311"/>
    <hyperlink ref="E290" r:id="rIdURL312"/>
    <hyperlink ref="E291" r:id="rIdURL313"/>
    <hyperlink ref="E292" r:id="rIdURL314"/>
    <hyperlink ref="E293" r:id="rIdURL315"/>
    <hyperlink ref="E294" r:id="rIdURL316"/>
    <hyperlink ref="E295" r:id="rIdURL317"/>
    <hyperlink ref="E296" r:id="rIdURL318"/>
    <hyperlink ref="E297" r:id="rIdURL319"/>
    <hyperlink ref="E298" r:id="rIdURL320"/>
    <hyperlink ref="E299" r:id="rIdURL321"/>
    <hyperlink ref="E300" r:id="rIdURL322"/>
    <hyperlink ref="H300" r:id="rIdURL323"/>
    <hyperlink ref="E301" r:id="rIdURL324"/>
    <hyperlink ref="H301" r:id="rIdURL325"/>
    <hyperlink ref="E302" r:id="rIdURL326"/>
    <hyperlink ref="E303" r:id="rIdURL327"/>
    <hyperlink ref="H303" r:id="rIdURL328"/>
    <hyperlink ref="E304" r:id="rIdURL329"/>
    <hyperlink ref="E305" r:id="rIdURL330"/>
    <hyperlink ref="E306" r:id="rIdURL331"/>
    <hyperlink ref="E307" r:id="rIdURL332"/>
    <hyperlink ref="E308" r:id="rIdURL333"/>
    <hyperlink ref="E309" r:id="rIdURL334"/>
    <hyperlink ref="E310" r:id="rIdURL335"/>
    <hyperlink ref="H310" r:id="rIdURL336"/>
    <hyperlink ref="E311" r:id="rIdURL337"/>
    <hyperlink ref="E312" r:id="rIdURL338"/>
    <hyperlink ref="E313" r:id="rIdURL339"/>
    <hyperlink ref="E314" r:id="rIdURL340"/>
    <hyperlink ref="E315" r:id="rIdURL341"/>
    <hyperlink ref="E316" r:id="rIdURL342"/>
    <hyperlink ref="E317" r:id="rIdURL343"/>
    <hyperlink ref="E318" r:id="rIdURL344"/>
    <hyperlink ref="E319" r:id="rIdURL345"/>
    <hyperlink ref="E320" r:id="rIdURL346"/>
    <hyperlink ref="E321" r:id="rIdURL347"/>
    <hyperlink ref="E322" r:id="rIdURL348"/>
    <hyperlink ref="E323" r:id="rIdURL349"/>
    <hyperlink ref="E324" r:id="rIdURL350"/>
    <hyperlink ref="E325" r:id="rIdURL351"/>
    <hyperlink ref="E326" r:id="rIdURL352"/>
    <hyperlink ref="H326" r:id="rIdURL353"/>
    <hyperlink ref="E327" r:id="rIdURL354"/>
    <hyperlink ref="H327" r:id="rIdURL355"/>
    <hyperlink ref="E328" r:id="rIdURL356"/>
    <hyperlink ref="E329" r:id="rIdURL357"/>
    <hyperlink ref="E330" r:id="rIdURL358"/>
    <hyperlink ref="E331" r:id="rIdURL359"/>
    <hyperlink ref="E332" r:id="rIdURL360"/>
    <hyperlink ref="E333" r:id="rIdURL361"/>
    <hyperlink ref="E334" r:id="rIdURL362"/>
    <hyperlink ref="E335" r:id="rIdURL363"/>
    <hyperlink ref="E336" r:id="rIdURL364"/>
    <hyperlink ref="E337" r:id="rIdURL365"/>
    <hyperlink ref="E338" r:id="rIdURL366"/>
    <hyperlink ref="E339" r:id="rIdURL367"/>
    <hyperlink ref="E340" r:id="rIdURL368"/>
    <hyperlink ref="E341" r:id="rIdURL369"/>
    <hyperlink ref="E342" r:id="rIdURL370"/>
    <hyperlink ref="E343" r:id="rIdURL371"/>
    <hyperlink ref="H343" r:id="rIdURL372"/>
    <hyperlink ref="E344" r:id="rIdURL373"/>
    <hyperlink ref="E345" r:id="rIdURL374"/>
    <hyperlink ref="E346" r:id="rIdURL375"/>
    <hyperlink ref="E347" r:id="rIdURL376"/>
    <hyperlink ref="E348" r:id="rIdURL377"/>
    <hyperlink ref="E349" r:id="rIdURL378"/>
    <hyperlink ref="E350" r:id="rIdURL379"/>
    <hyperlink ref="E351" r:id="rIdURL380"/>
    <hyperlink ref="E352" r:id="rIdURL381"/>
    <hyperlink ref="E353" r:id="rIdURL382"/>
    <hyperlink ref="E354" r:id="rIdURL383"/>
    <hyperlink ref="E355" r:id="rIdURL384"/>
    <hyperlink ref="E356" r:id="rIdURL385"/>
    <hyperlink ref="E357" r:id="rIdURL386"/>
    <hyperlink ref="H357" r:id="rIdURL387"/>
    <hyperlink ref="E358" r:id="rIdURL388"/>
    <hyperlink ref="E359" r:id="rIdURL389"/>
    <hyperlink ref="E360" r:id="rIdURL390"/>
    <hyperlink ref="E361" r:id="rIdURL391"/>
    <hyperlink ref="E362" r:id="rIdURL392"/>
    <hyperlink ref="E363" r:id="rIdURL393"/>
    <hyperlink ref="E364" r:id="rIdURL394"/>
    <hyperlink ref="E365" r:id="rIdURL395"/>
    <hyperlink ref="E366" r:id="rIdURL396"/>
    <hyperlink ref="E367" r:id="rIdURL397"/>
    <hyperlink ref="E368" r:id="rIdURL398"/>
    <hyperlink ref="E369" r:id="rIdURL399"/>
    <hyperlink ref="E370" r:id="rIdURL400"/>
    <hyperlink ref="E371" r:id="rIdURL401"/>
    <hyperlink ref="E372" r:id="rIdURL402"/>
    <hyperlink ref="E373" r:id="rIdURL403"/>
    <hyperlink ref="E374" r:id="rIdURL404"/>
    <hyperlink ref="E375" r:id="rIdURL405"/>
    <hyperlink ref="E376" r:id="rIdURL406"/>
    <hyperlink ref="H376" r:id="rIdURL407"/>
    <hyperlink ref="E377" r:id="rIdURL408"/>
    <hyperlink ref="E378" r:id="rIdURL409"/>
    <hyperlink ref="E379" r:id="rIdURL410"/>
    <hyperlink ref="E380" r:id="rIdURL411"/>
    <hyperlink ref="E381" r:id="rIdURL412"/>
    <hyperlink ref="E382" r:id="rIdURL413"/>
    <hyperlink ref="E383" r:id="rIdURL414"/>
    <hyperlink ref="E384" r:id="rIdURL415"/>
    <hyperlink ref="E385" r:id="rIdURL416"/>
    <hyperlink ref="E386" r:id="rIdURL417"/>
    <hyperlink ref="E387" r:id="rIdURL418"/>
    <hyperlink ref="E388" r:id="rIdURL419"/>
    <hyperlink ref="E389" r:id="rIdURL420"/>
    <hyperlink ref="E390" r:id="rIdURL421"/>
    <hyperlink ref="E391" r:id="rIdURL422"/>
    <hyperlink ref="E392" r:id="rIdURL423"/>
    <hyperlink ref="E393" r:id="rIdURL424"/>
    <hyperlink ref="E394" r:id="rIdURL425"/>
    <hyperlink ref="E395" r:id="rIdURL426"/>
    <hyperlink ref="E396" r:id="rIdURL427"/>
    <hyperlink ref="E397" r:id="rIdURL428"/>
    <hyperlink ref="E398" r:id="rIdURL429"/>
    <hyperlink ref="E399" r:id="rIdURL430"/>
    <hyperlink ref="E400" r:id="rIdURL431"/>
    <hyperlink ref="E401" r:id="rIdURL432"/>
    <hyperlink ref="E402" r:id="rIdURL433"/>
    <hyperlink ref="E403" r:id="rIdURL434"/>
    <hyperlink ref="E404" r:id="rIdURL435"/>
    <hyperlink ref="E405" r:id="rIdURL436"/>
    <hyperlink ref="E406" r:id="rIdURL437"/>
    <hyperlink ref="E407" r:id="rIdURL438"/>
    <hyperlink ref="E408" r:id="rIdURL439"/>
    <hyperlink ref="E409" r:id="rIdURL440"/>
    <hyperlink ref="E410" r:id="rIdURL441"/>
    <hyperlink ref="E411" r:id="rIdURL442"/>
    <hyperlink ref="E412" r:id="rIdURL443"/>
    <hyperlink ref="E413" r:id="rIdURL444"/>
    <hyperlink ref="E414" r:id="rIdURL445"/>
    <hyperlink ref="E415" r:id="rIdURL446"/>
    <hyperlink ref="E416" r:id="rIdURL447"/>
    <hyperlink ref="E417" r:id="rIdURL448"/>
    <hyperlink ref="E418" r:id="rIdURL449"/>
    <hyperlink ref="E419" r:id="rIdURL450"/>
    <hyperlink ref="E420" r:id="rIdURL451"/>
    <hyperlink ref="E421" r:id="rIdURL452"/>
    <hyperlink ref="E422" r:id="rIdURL453"/>
    <hyperlink ref="E423" r:id="rIdURL454"/>
    <hyperlink ref="E424" r:id="rIdURL455"/>
    <hyperlink ref="E425" r:id="rIdURL456"/>
    <hyperlink ref="E426" r:id="rIdURL457"/>
    <hyperlink ref="E427" r:id="rIdURL458"/>
    <hyperlink ref="E428" r:id="rIdURL459"/>
    <hyperlink ref="E429" r:id="rIdURL460"/>
    <hyperlink ref="H429" r:id="rIdURL461"/>
    <hyperlink ref="E430" r:id="rIdURL462"/>
    <hyperlink ref="E431" r:id="rIdURL463"/>
    <hyperlink ref="E432" r:id="rIdURL464"/>
    <hyperlink ref="E433" r:id="rIdURL465"/>
    <hyperlink ref="E434" r:id="rIdURL466"/>
    <hyperlink ref="E435" r:id="rIdURL467"/>
    <hyperlink ref="E436" r:id="rIdURL468"/>
    <hyperlink ref="E437" r:id="rIdURL469"/>
    <hyperlink ref="E438" r:id="rIdURL470"/>
    <hyperlink ref="E439" r:id="rIdURL471"/>
    <hyperlink ref="E440" r:id="rIdURL472"/>
    <hyperlink ref="E441" r:id="rIdURL473"/>
    <hyperlink ref="E442" r:id="rIdURL474"/>
    <hyperlink ref="E443" r:id="rIdURL475"/>
    <hyperlink ref="E444" r:id="rIdURL476"/>
    <hyperlink ref="E445" r:id="rIdURL477"/>
    <hyperlink ref="E446" r:id="rIdURL478"/>
    <hyperlink ref="E447" r:id="rIdURL479"/>
    <hyperlink ref="H447" r:id="rIdURL480"/>
    <hyperlink ref="E448" r:id="rIdURL481"/>
  </hyperlinks>
  <pageMargins left="0.7" right="0.7" top="0.75" bottom="0.75" header="0.3" footer="0.3"/>
  <tableParts count="1">
    <tablePart r:id="R4fce9726a77147a9"/>
  </tableParts>
</worksheet>
</file>